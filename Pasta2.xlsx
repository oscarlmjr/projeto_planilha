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car_desktop\Desktop\"/>
    </mc:Choice>
  </mc:AlternateContent>
  <bookViews>
    <workbookView xWindow="0" yWindow="0" windowWidth="24000" windowHeight="95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5" i="1"/>
  <c r="O4" i="1"/>
  <c r="O3" i="1"/>
  <c r="O30" i="1"/>
  <c r="H30" i="1" l="1"/>
  <c r="G30" i="1"/>
  <c r="F30" i="1"/>
  <c r="E30" i="1"/>
  <c r="D30" i="1"/>
  <c r="C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2" i="1"/>
</calcChain>
</file>

<file path=xl/sharedStrings.xml><?xml version="1.0" encoding="utf-8"?>
<sst xmlns="http://schemas.openxmlformats.org/spreadsheetml/2006/main" count="47" uniqueCount="41">
  <si>
    <t>Compra / Vencimento 10/12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</si>
  <si>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</si>
  <si>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</si>
  <si>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</si>
  <si>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</si>
  <si>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</si>
  <si>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</si>
  <si>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</si>
  <si>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</si>
  <si>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</si>
  <si>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</si>
  <si>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</si>
  <si>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</si>
  <si>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</si>
  <si>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 xml:space="preserve"> FERREIRACOSTA PARC 01/05 RECIFE BR</t>
  </si>
  <si>
    <t>AMAZON BR PARC 02/04 SAO PAULO BR</t>
  </si>
  <si>
    <t>29/10</t>
  </si>
  <si>
    <t>FERREIRACOSTA PARC 01/04 RECIFE BR</t>
  </si>
  <si>
    <t>FERREIRACOSTA PARC 01/05 RECIFE BR</t>
  </si>
  <si>
    <t>31/10</t>
  </si>
  <si>
    <t>ATACADO DOS P PARC 01/04 RECIFE BR</t>
  </si>
  <si>
    <t>02/04</t>
  </si>
  <si>
    <t>FERREIRACOSTA PARC 08/10 RECIFE BR</t>
  </si>
  <si>
    <t>RaiaDrogasilS PARC 01/03 RECIFE BR</t>
  </si>
  <si>
    <t>RDSAUDE ONLIN PARC 01/06 SAO PAULO BR</t>
  </si>
  <si>
    <t>PAGUE MENOS 3 PARC 03/04 RECIFE BR</t>
  </si>
  <si>
    <t>RDSAUDE ONLIN PARC 02/03 SAO PAULO BR</t>
  </si>
  <si>
    <t>PAGUE MENOS PARC 04/05 RECIFE BR</t>
  </si>
  <si>
    <t>EBN *SONYP PARC 03/04 CURITIBA BR</t>
  </si>
  <si>
    <t>MLP*Magalu OR PARC 04/07 SAO BERNARDOBR</t>
  </si>
  <si>
    <t>RaiaDrogasilS PARC 02/03 RECIFE BR</t>
  </si>
  <si>
    <t>ATACADO DOS P PARC 02/04 RECIFE BR</t>
  </si>
  <si>
    <t>AMAZON BR PARC 05/06 SAO PAULO BR</t>
  </si>
  <si>
    <t>BRASTEMP * PARC 03/08 SAO PAULO BR</t>
  </si>
  <si>
    <t>MP*MAISPROGRE PARC 01/05 RECIFE BR</t>
  </si>
  <si>
    <t>MP *MAISPROGR PARC 01/05 RECIFE BR</t>
  </si>
  <si>
    <t>ZP*CLINICA OD PARC 02/03 RECIFE BR</t>
  </si>
  <si>
    <t>MLP*Magalu Mo PARC 02/10 Votuporanga BR</t>
  </si>
  <si>
    <t>MLP*Magalu Fr PARC 02/10 Serra BR</t>
  </si>
  <si>
    <t>MP*MERCADOLIV PARC 01/07 RIO DE JANEIBR</t>
  </si>
  <si>
    <t>BUSON PARC 05/06 SAO JOSE DOSBR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</si>
</sst>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\ #,##0.00"/>
    <numFmt numFmtId="165" formatCode="d/m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4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41"/>
      </patternFill>
    </fill>
    <fill>
      <patternFill patternType="solid">
        <fgColor rgb="FF66FF3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indexed="53"/>
      </patternFill>
    </fill>
    <fill>
      <patternFill patternType="solid">
        <fgColor theme="0" tint="-0.14999847407452621"/>
        <bgColor indexed="63"/>
      </patternFill>
    </fill>
    <fill>
      <patternFill patternType="solid">
        <fgColor theme="0"/>
        <bgColor indexed="6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4" fillId="0" borderId="1" xfId="0" applyNumberFormat="1" applyFon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30"/>
  <sheetViews>
    <sheetView tabSelected="1" showWhiteSpace="0" zoomScaleNormal="100" workbookViewId="0">
      <selection activeCell="Q16" sqref="Q16"/>
    </sheetView>
  </sheetViews>
  <sheetFormatPr defaultRowHeight="15" x14ac:dyDescent="0.25"/>
  <cols>
    <col min="1" max="1" width="5.5703125" style="8" bestFit="1" customWidth="1"/>
    <col min="2" max="2" width="45" style="8" bestFit="1" customWidth="1"/>
    <col min="3" max="5" width="11" style="8" bestFit="1" customWidth="1"/>
    <col min="6" max="10" width="9.42578125" style="8" bestFit="1" customWidth="1"/>
    <col min="11" max="11" width="9" style="8" bestFit="1" customWidth="1"/>
    <col min="12" max="12" width="7.5703125" style="8" bestFit="1" customWidth="1"/>
    <col min="13" max="13" width="9.140625" style="8"/>
    <col min="14" max="14" width="9.42578125" style="8" bestFit="1" customWidth="1"/>
    <col min="15" max="15" width="11" style="8" bestFit="1" customWidth="1"/>
    <col min="16" max="16384" width="9.140625" style="8"/>
  </cols>
  <sheetData>
    <row r="1" spans="1:15" x14ac:dyDescent="0.25">
      <c r="A1" s="14">
        <v>2026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25">
      <c r="A2" s="4">
        <v>45834</v>
      </c>
      <c r="B2" s="10" t="s">
        <v>40</v>
      </c>
      <c r="C2" s="5">
        <v>54.5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>
        <f>SUM(C2)</f>
        <v>54.5</v>
      </c>
    </row>
    <row r="3" spans="1:15" x14ac:dyDescent="0.25">
      <c r="A3" s="4">
        <v>45959</v>
      </c>
      <c r="B3" s="10" t="s">
        <v>14</v>
      </c>
      <c r="C3" s="5">
        <v>22.86</v>
      </c>
      <c r="D3" s="5">
        <v>22.86</v>
      </c>
      <c r="E3" s="5">
        <v>22.86</v>
      </c>
      <c r="F3" s="5">
        <v>22.86</v>
      </c>
      <c r="G3" s="6"/>
      <c r="H3" s="6"/>
      <c r="I3" s="6"/>
      <c r="J3" s="6"/>
      <c r="K3" s="6"/>
      <c r="L3" s="6"/>
      <c r="M3" s="6"/>
      <c r="N3" s="6"/>
      <c r="O3" s="1">
        <f>SUM(C3:N3)</f>
        <v>91.44</v>
      </c>
    </row>
    <row r="4" spans="1:15" x14ac:dyDescent="0.25">
      <c r="A4" s="4">
        <v>45930</v>
      </c>
      <c r="B4" s="10" t="s">
        <v>15</v>
      </c>
      <c r="C4" s="5">
        <v>32.93</v>
      </c>
      <c r="D4" s="5">
        <v>32.93</v>
      </c>
      <c r="E4" s="6"/>
      <c r="F4" s="6"/>
      <c r="G4" s="6"/>
      <c r="H4" s="6"/>
      <c r="I4" s="6"/>
      <c r="J4" s="6"/>
      <c r="K4" s="6"/>
      <c r="L4" s="6"/>
      <c r="M4" s="6"/>
      <c r="N4" s="6"/>
      <c r="O4" s="7">
        <f>SUM(C4:D4)</f>
        <v>65.86</v>
      </c>
    </row>
    <row r="5" spans="1:15" x14ac:dyDescent="0.25">
      <c r="A5" s="4" t="s">
        <v>16</v>
      </c>
      <c r="B5" s="9" t="s">
        <v>17</v>
      </c>
      <c r="C5" s="5">
        <v>52.81</v>
      </c>
      <c r="D5" s="5">
        <v>52.81</v>
      </c>
      <c r="E5" s="5">
        <v>52.81</v>
      </c>
      <c r="F5" s="6"/>
      <c r="G5" s="6"/>
      <c r="H5" s="6"/>
      <c r="I5" s="6"/>
      <c r="J5" s="6"/>
      <c r="K5" s="6"/>
      <c r="L5" s="6"/>
      <c r="M5" s="6"/>
      <c r="N5" s="6"/>
      <c r="O5" s="1">
        <f>SUM(C5,D5,E5)</f>
        <v>158.43</v>
      </c>
    </row>
    <row r="6" spans="1:15" x14ac:dyDescent="0.25">
      <c r="A6" s="4" t="s">
        <v>16</v>
      </c>
      <c r="B6" s="9" t="s">
        <v>18</v>
      </c>
      <c r="C6" s="5">
        <v>29.8</v>
      </c>
      <c r="D6" s="5">
        <v>29.8</v>
      </c>
      <c r="E6" s="5">
        <v>29.8</v>
      </c>
      <c r="F6" s="5">
        <v>29.8</v>
      </c>
      <c r="G6" s="6"/>
      <c r="H6" s="6"/>
      <c r="I6" s="6"/>
      <c r="J6" s="6"/>
      <c r="K6" s="6"/>
      <c r="L6" s="6"/>
      <c r="M6" s="6"/>
      <c r="N6" s="6"/>
      <c r="O6" s="1">
        <f>SUM(C6:F6)</f>
        <v>119.2</v>
      </c>
    </row>
    <row r="7" spans="1:15" x14ac:dyDescent="0.25">
      <c r="A7" s="4" t="s">
        <v>19</v>
      </c>
      <c r="B7" s="9" t="s">
        <v>20</v>
      </c>
      <c r="C7" s="5">
        <v>58.1</v>
      </c>
      <c r="D7" s="5">
        <v>58.1</v>
      </c>
      <c r="E7" s="5">
        <v>58.1</v>
      </c>
      <c r="F7" s="6"/>
      <c r="G7" s="6"/>
      <c r="H7" s="6"/>
      <c r="I7" s="6"/>
      <c r="J7" s="6"/>
      <c r="K7" s="6"/>
      <c r="L7" s="6"/>
      <c r="M7" s="6"/>
      <c r="N7" s="6"/>
      <c r="O7" s="1">
        <f>SUM(C7:N7)</f>
        <v>174.3</v>
      </c>
    </row>
    <row r="8" spans="1:15" x14ac:dyDescent="0.25">
      <c r="A8" s="4" t="s">
        <v>21</v>
      </c>
      <c r="B8" s="9" t="s">
        <v>22</v>
      </c>
      <c r="C8" s="5">
        <v>183.99</v>
      </c>
      <c r="D8" s="5">
        <v>183.99</v>
      </c>
      <c r="E8" s="6"/>
      <c r="F8" s="6"/>
      <c r="G8" s="6"/>
      <c r="H8" s="6"/>
      <c r="I8" s="6"/>
      <c r="J8" s="6"/>
      <c r="K8" s="6"/>
      <c r="L8" s="6"/>
      <c r="M8" s="6"/>
      <c r="N8" s="6"/>
      <c r="O8" s="1">
        <f>SUM(C8,D8)</f>
        <v>367.98</v>
      </c>
    </row>
    <row r="9" spans="1:15" x14ac:dyDescent="0.25">
      <c r="A9" s="4">
        <v>45965</v>
      </c>
      <c r="B9" s="9" t="s">
        <v>23</v>
      </c>
      <c r="C9" s="1">
        <v>75.040000000000006</v>
      </c>
      <c r="D9" s="1">
        <v>75.040000000000006</v>
      </c>
      <c r="E9" s="6"/>
      <c r="F9" s="6"/>
      <c r="G9" s="6"/>
      <c r="H9" s="6"/>
      <c r="I9" s="6"/>
      <c r="J9" s="6"/>
      <c r="K9" s="6"/>
      <c r="L9" s="6"/>
      <c r="M9" s="6"/>
      <c r="N9" s="6"/>
      <c r="O9" s="5">
        <f>SUM(C9:N9)</f>
        <v>150.08000000000001</v>
      </c>
    </row>
    <row r="10" spans="1:15" x14ac:dyDescent="0.25">
      <c r="A10" s="4">
        <v>45965</v>
      </c>
      <c r="B10" s="9" t="s">
        <v>24</v>
      </c>
      <c r="C10" s="1">
        <v>121.26</v>
      </c>
      <c r="D10" s="1">
        <v>121.26</v>
      </c>
      <c r="E10" s="1">
        <v>121.26</v>
      </c>
      <c r="F10" s="1">
        <v>121.26</v>
      </c>
      <c r="G10" s="1">
        <v>121.26</v>
      </c>
      <c r="H10" s="6"/>
      <c r="I10" s="6"/>
      <c r="J10" s="6"/>
      <c r="K10" s="6"/>
      <c r="L10" s="6"/>
      <c r="M10" s="6"/>
      <c r="N10" s="6"/>
      <c r="O10" s="5">
        <f>SUM(C10:G10)</f>
        <v>606.30000000000007</v>
      </c>
    </row>
    <row r="11" spans="1:15" x14ac:dyDescent="0.25">
      <c r="A11" s="4">
        <v>45905</v>
      </c>
      <c r="B11" s="9" t="s">
        <v>25</v>
      </c>
      <c r="C11" s="1">
        <v>71.989999999999995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5">
        <f>SUM(C11)</f>
        <v>71.989999999999995</v>
      </c>
    </row>
    <row r="12" spans="1:15" x14ac:dyDescent="0.25">
      <c r="A12" s="4">
        <v>45936</v>
      </c>
      <c r="B12" s="9" t="s">
        <v>26</v>
      </c>
      <c r="C12" s="1">
        <v>210.89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>
        <f>SUM(C12)</f>
        <v>210.89</v>
      </c>
    </row>
    <row r="13" spans="1:15" x14ac:dyDescent="0.25">
      <c r="A13" s="4">
        <v>45876</v>
      </c>
      <c r="B13" s="9" t="s">
        <v>27</v>
      </c>
      <c r="C13" s="1">
        <v>83.88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>
        <f>SUM(C13)</f>
        <v>83.88</v>
      </c>
    </row>
    <row r="14" spans="1:15" x14ac:dyDescent="0.25">
      <c r="A14" s="4">
        <v>45908</v>
      </c>
      <c r="B14" s="9" t="s">
        <v>28</v>
      </c>
      <c r="C14" s="1">
        <v>29.73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5">
        <f>SUM(C14)</f>
        <v>29.73</v>
      </c>
    </row>
    <row r="15" spans="1:15" x14ac:dyDescent="0.25">
      <c r="A15" s="4">
        <v>45878</v>
      </c>
      <c r="B15" s="9" t="s">
        <v>29</v>
      </c>
      <c r="C15" s="1">
        <v>78.55</v>
      </c>
      <c r="D15" s="1">
        <v>78.55</v>
      </c>
      <c r="E15" s="1">
        <v>78.55</v>
      </c>
      <c r="F15" s="6"/>
      <c r="G15" s="6"/>
      <c r="H15" s="6"/>
      <c r="I15" s="6"/>
      <c r="J15" s="6"/>
      <c r="K15" s="6"/>
      <c r="L15" s="6"/>
      <c r="M15" s="6"/>
      <c r="N15" s="6"/>
      <c r="O15" s="5">
        <f>SUM(C15:E15)</f>
        <v>235.64999999999998</v>
      </c>
    </row>
    <row r="16" spans="1:15" x14ac:dyDescent="0.25">
      <c r="A16" s="4">
        <v>45942</v>
      </c>
      <c r="B16" s="9" t="s">
        <v>30</v>
      </c>
      <c r="C16" s="1">
        <v>62.43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5">
        <f>SUM(C16)</f>
        <v>62.43</v>
      </c>
    </row>
    <row r="17" spans="1:15" x14ac:dyDescent="0.25">
      <c r="A17" s="4">
        <v>45942</v>
      </c>
      <c r="B17" s="9" t="s">
        <v>31</v>
      </c>
      <c r="C17" s="1">
        <v>20.47</v>
      </c>
      <c r="D17" s="1">
        <v>20.47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5">
        <f>SUM(C17,D17)</f>
        <v>40.94</v>
      </c>
    </row>
    <row r="18" spans="1:15" x14ac:dyDescent="0.25">
      <c r="A18" s="4">
        <v>45858</v>
      </c>
      <c r="B18" s="9" t="s">
        <v>32</v>
      </c>
      <c r="C18" s="1">
        <v>52.74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>
        <f>SUM(C18)</f>
        <v>52.74</v>
      </c>
    </row>
    <row r="19" spans="1:15" x14ac:dyDescent="0.25">
      <c r="A19" s="4">
        <v>45923</v>
      </c>
      <c r="B19" s="9" t="s">
        <v>33</v>
      </c>
      <c r="C19" s="1">
        <v>290.99</v>
      </c>
      <c r="D19" s="1">
        <v>290.99</v>
      </c>
      <c r="E19" s="1">
        <v>290.99</v>
      </c>
      <c r="F19" s="1">
        <v>290.99</v>
      </c>
      <c r="G19" s="1">
        <v>290.99</v>
      </c>
      <c r="H19" s="6"/>
      <c r="I19" s="6"/>
      <c r="J19" s="6"/>
      <c r="K19" s="6"/>
      <c r="L19" s="6"/>
      <c r="M19" s="6"/>
      <c r="N19" s="6"/>
      <c r="O19" s="5">
        <f>SUM(C19:G19)</f>
        <v>1454.95</v>
      </c>
    </row>
    <row r="20" spans="1:15" x14ac:dyDescent="0.25">
      <c r="A20" s="4">
        <v>45984</v>
      </c>
      <c r="B20" s="9" t="s">
        <v>23</v>
      </c>
      <c r="C20" s="1">
        <v>52.27</v>
      </c>
      <c r="D20" s="1">
        <v>52.27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5">
        <f>SUM(C20,D20)</f>
        <v>104.54</v>
      </c>
    </row>
    <row r="21" spans="1:15" x14ac:dyDescent="0.25">
      <c r="A21" s="4">
        <v>45984</v>
      </c>
      <c r="B21" s="9" t="s">
        <v>34</v>
      </c>
      <c r="C21" s="1">
        <v>75.28</v>
      </c>
      <c r="D21" s="1">
        <v>75.28</v>
      </c>
      <c r="E21" s="1">
        <v>75.28</v>
      </c>
      <c r="F21" s="1">
        <v>75.28</v>
      </c>
      <c r="G21" s="6"/>
      <c r="H21" s="6"/>
      <c r="I21" s="6"/>
      <c r="J21" s="6"/>
      <c r="K21" s="6"/>
      <c r="L21" s="6"/>
      <c r="M21" s="6"/>
      <c r="N21" s="6"/>
      <c r="O21" s="5">
        <f>SUM(C21:F21)</f>
        <v>301.12</v>
      </c>
    </row>
    <row r="22" spans="1:15" x14ac:dyDescent="0.25">
      <c r="A22" s="4">
        <v>45984</v>
      </c>
      <c r="B22" s="9" t="s">
        <v>35</v>
      </c>
      <c r="C22" s="1">
        <v>37.64</v>
      </c>
      <c r="D22" s="1">
        <v>37.64</v>
      </c>
      <c r="E22" s="1">
        <v>37.64</v>
      </c>
      <c r="F22" s="1">
        <v>37.64</v>
      </c>
      <c r="G22" s="6"/>
      <c r="H22" s="6"/>
      <c r="I22" s="6"/>
      <c r="J22" s="6"/>
      <c r="K22" s="6"/>
      <c r="L22" s="6"/>
      <c r="M22" s="6"/>
      <c r="N22" s="6"/>
      <c r="O22" s="5">
        <f>SUM(C22:F22)</f>
        <v>150.56</v>
      </c>
    </row>
    <row r="23" spans="1:15" x14ac:dyDescent="0.25">
      <c r="A23" s="4">
        <v>45954</v>
      </c>
      <c r="B23" s="9" t="s">
        <v>36</v>
      </c>
      <c r="C23" s="1">
        <v>96.66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5">
        <f>SUM(C23)</f>
        <v>96.66</v>
      </c>
    </row>
    <row r="24" spans="1:15" x14ac:dyDescent="0.25">
      <c r="A24" s="4">
        <v>45954</v>
      </c>
      <c r="B24" s="9" t="s">
        <v>31</v>
      </c>
      <c r="C24" s="1">
        <v>40.32</v>
      </c>
      <c r="D24" s="1">
        <v>40.32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5">
        <f>SUM(C24,D24)</f>
        <v>80.64</v>
      </c>
    </row>
    <row r="25" spans="1:15" x14ac:dyDescent="0.25">
      <c r="A25" s="4">
        <v>45954</v>
      </c>
      <c r="B25" s="9" t="s">
        <v>37</v>
      </c>
      <c r="C25" s="1">
        <v>99.73</v>
      </c>
      <c r="D25" s="1">
        <v>99.73</v>
      </c>
      <c r="E25" s="1">
        <v>99.73</v>
      </c>
      <c r="F25" s="1">
        <v>99.73</v>
      </c>
      <c r="G25" s="1">
        <v>99.73</v>
      </c>
      <c r="H25" s="1">
        <v>99.73</v>
      </c>
      <c r="I25" s="1">
        <v>99.73</v>
      </c>
      <c r="J25" s="1">
        <v>99.73</v>
      </c>
      <c r="K25" s="6"/>
      <c r="L25" s="6"/>
      <c r="M25" s="6"/>
      <c r="N25" s="6"/>
      <c r="O25" s="5">
        <f>SUM(C25:J25)</f>
        <v>797.84</v>
      </c>
    </row>
    <row r="26" spans="1:15" x14ac:dyDescent="0.25">
      <c r="A26" s="4">
        <v>45954</v>
      </c>
      <c r="B26" s="9" t="s">
        <v>38</v>
      </c>
      <c r="C26" s="1">
        <v>162.52000000000001</v>
      </c>
      <c r="D26" s="1">
        <v>162.52000000000001</v>
      </c>
      <c r="E26" s="1">
        <v>162.52000000000001</v>
      </c>
      <c r="F26" s="1">
        <v>162.52000000000001</v>
      </c>
      <c r="G26" s="1">
        <v>162.52000000000001</v>
      </c>
      <c r="H26" s="1">
        <v>162.52000000000001</v>
      </c>
      <c r="I26" s="1">
        <v>162.52000000000001</v>
      </c>
      <c r="J26" s="1">
        <v>162.52000000000001</v>
      </c>
      <c r="K26" s="6"/>
      <c r="L26" s="6"/>
      <c r="M26" s="6"/>
      <c r="N26" s="6"/>
      <c r="O26" s="5">
        <f>SUM(C26:J26)</f>
        <v>1300.1600000000001</v>
      </c>
    </row>
    <row r="27" spans="1:15" x14ac:dyDescent="0.25">
      <c r="A27" s="4">
        <v>45987</v>
      </c>
      <c r="B27" s="9" t="s">
        <v>23</v>
      </c>
      <c r="C27" s="1">
        <v>44.81</v>
      </c>
      <c r="D27" s="1">
        <v>44.81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5">
        <f>SUM(C27:D27)</f>
        <v>89.62</v>
      </c>
    </row>
    <row r="28" spans="1:15" x14ac:dyDescent="0.25">
      <c r="A28" s="4">
        <v>45987</v>
      </c>
      <c r="B28" s="9" t="s">
        <v>20</v>
      </c>
      <c r="C28" s="1">
        <v>31.06</v>
      </c>
      <c r="D28" s="1">
        <v>31.06</v>
      </c>
      <c r="E28" s="1">
        <v>31.06</v>
      </c>
      <c r="F28" s="6"/>
      <c r="G28" s="6"/>
      <c r="H28" s="6"/>
      <c r="I28" s="6"/>
      <c r="J28" s="6"/>
      <c r="K28" s="6"/>
      <c r="L28" s="6"/>
      <c r="M28" s="6"/>
      <c r="N28" s="6"/>
      <c r="O28" s="5">
        <f>SUM(C28:E28)</f>
        <v>93.179999999999993</v>
      </c>
    </row>
    <row r="29" spans="1:15" x14ac:dyDescent="0.25">
      <c r="A29" s="4">
        <v>45988</v>
      </c>
      <c r="B29" s="9" t="s">
        <v>39</v>
      </c>
      <c r="C29" s="1">
        <v>55.74</v>
      </c>
      <c r="D29" s="1">
        <v>55.74</v>
      </c>
      <c r="E29" s="1">
        <v>55.74</v>
      </c>
      <c r="F29" s="1">
        <v>55.74</v>
      </c>
      <c r="G29" s="1">
        <v>55.74</v>
      </c>
      <c r="H29" s="1">
        <v>55.74</v>
      </c>
      <c r="I29" s="6"/>
      <c r="J29" s="6"/>
      <c r="K29" s="6"/>
      <c r="L29" s="6"/>
      <c r="M29" s="6"/>
      <c r="N29" s="6"/>
      <c r="O29" s="5">
        <f>SUM(C29:H29)</f>
        <v>334.44</v>
      </c>
    </row>
    <row r="30" spans="1:15" x14ac:dyDescent="0.25">
      <c r="A30" s="12" t="s">
        <v>13</v>
      </c>
      <c r="B30" s="13"/>
      <c r="C30" s="11">
        <f t="shared" ref="C30:H30" si="0">SUM(C2:C29)</f>
        <v>2228.9899999999998</v>
      </c>
      <c r="D30" s="11">
        <f t="shared" si="0"/>
        <v>1566.17</v>
      </c>
      <c r="E30" s="11">
        <f t="shared" si="0"/>
        <v>1116.3399999999999</v>
      </c>
      <c r="F30" s="11">
        <f t="shared" si="0"/>
        <v>895.82</v>
      </c>
      <c r="G30" s="11">
        <f t="shared" si="0"/>
        <v>730.24</v>
      </c>
      <c r="H30" s="11">
        <f t="shared" si="0"/>
        <v>317.99</v>
      </c>
      <c r="I30" s="6"/>
      <c r="J30" s="6"/>
      <c r="K30" s="6"/>
      <c r="L30" s="6"/>
      <c r="M30" s="6"/>
      <c r="N30" s="6"/>
      <c r="O30" s="11">
        <f>SUM(C30:H30)</f>
        <v>6855.5499999999993</v>
      </c>
    </row>
  </sheetData>
  <mergeCells count="1">
    <mergeCell ref="A30:B3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O15 O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oscar_desktop</dc:creator>
  <cp:lastModifiedBy>oscar_desktop</cp:lastModifiedBy>
  <dcterms:created xsi:type="dcterms:W3CDTF">2025-12-01T00:44:31Z</dcterms:created>
  <dcterms:modified xsi:type="dcterms:W3CDTF">2025-12-01T02:08:50Z</dcterms:modified>
</cp:coreProperties>
</file>