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senvolvimento\projeto_planilha\"/>
    </mc:Choice>
  </mc:AlternateContent>
  <bookViews>
    <workbookView xWindow="0" yWindow="0" windowWidth="20496" windowHeight="7536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2" i="2" l="1"/>
  <c r="C151" i="2"/>
  <c r="C152" i="2"/>
  <c r="O153" i="2"/>
  <c r="D122" i="2"/>
  <c r="E122" i="2"/>
  <c r="F122" i="2"/>
  <c r="G122" i="2"/>
  <c r="H122" i="2"/>
  <c r="O122" i="2"/>
  <c r="O97" i="2"/>
  <c r="N151" i="2"/>
  <c r="O151" i="2"/>
  <c r="N152" i="2"/>
  <c r="O152" i="2"/>
  <c r="N77" i="2"/>
  <c r="N56" i="2"/>
  <c r="N78" i="2"/>
  <c r="O56" i="2"/>
  <c r="O44" i="2"/>
  <c r="O43" i="2"/>
  <c r="O37" i="2"/>
  <c r="O36" i="2"/>
  <c r="O35" i="2"/>
  <c r="O34" i="2"/>
  <c r="O33" i="2"/>
  <c r="O31" i="2"/>
  <c r="O30" i="2"/>
  <c r="O21" i="2"/>
  <c r="O20" i="2"/>
  <c r="O17" i="2"/>
  <c r="O83" i="2"/>
  <c r="O87" i="2"/>
  <c r="O91" i="2"/>
  <c r="O89" i="2"/>
  <c r="O90" i="2"/>
  <c r="O92" i="2"/>
  <c r="O78" i="2"/>
  <c r="O93" i="2"/>
  <c r="O121" i="2"/>
  <c r="O120" i="2"/>
  <c r="O119" i="2"/>
  <c r="O118" i="2"/>
  <c r="O117" i="2"/>
  <c r="O116" i="2"/>
  <c r="O114" i="2"/>
  <c r="O111" i="2"/>
  <c r="O112" i="2"/>
  <c r="O109" i="2"/>
  <c r="O108" i="2"/>
  <c r="O107" i="2"/>
  <c r="O105" i="2"/>
  <c r="O104" i="2"/>
  <c r="O101" i="2"/>
  <c r="O100" i="2"/>
  <c r="O99" i="2"/>
  <c r="O98" i="2"/>
  <c r="O96" i="2"/>
  <c r="O95" i="2"/>
  <c r="O94" i="2"/>
  <c r="O12" i="2"/>
  <c r="O11" i="2"/>
  <c r="O10" i="2"/>
  <c r="O9" i="2"/>
  <c r="O8" i="2"/>
  <c r="O7" i="2"/>
  <c r="O6" i="2"/>
  <c r="O5" i="2"/>
  <c r="O77" i="2"/>
</calcChain>
</file>

<file path=xl/sharedStrings.xml><?xml version="1.0" encoding="utf-8"?>
<sst xmlns="http://schemas.openxmlformats.org/spreadsheetml/2006/main" count="237" uniqueCount="155">
  <si>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</si>
  <si>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</si>
  <si>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</si>
  <si>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</si>
  <si>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</si>
  <si>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</si>
  <si>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</si>
  <si>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</si>
  <si>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</si>
  <si>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</si>
  <si>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</si>
  <si>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</si>
  <si>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</si>
  <si>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</si>
  <si>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</si>
  <si>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</si>
  <si>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</si>
  <si>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</si>
  <si>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</si>
  <si>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</si>
  <si>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</si>
  <si>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</si>
  <si>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</si>
  <si>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</si>
  <si>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</si>
  <si>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</si>
  <si>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</si>
  <si>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</si>
  <si>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</si>
  <si>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</si>
  <si>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</si>
  <si>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</si>
  <si>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</si>
  <si>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</si>
  <si>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</si>
  <si>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</si>
  <si>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</si>
  <si>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</si>
  <si>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</si>
  <si>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</si>
  <si>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</si>
  <si>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</si>
  <si>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</si>
  <si>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</si>
  <si>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</si>
  <si>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</si>
  <si>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</si>
  <si>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</si>
  <si>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</si>
  <si>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</si>
  <si>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</si>
  <si>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</si>
  <si>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</si>
  <si>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</si>
  <si>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</si>
  <si>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</si>
  <si>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</si>
  <si>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</si>
  <si>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</si>
  <si>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</si>
  <si>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</si>
  <si>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</si>
  <si>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</si>
  <si>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</si>
  <si>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</si>
  <si>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</si>
  <si>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</si>
  <si>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</si>
  <si>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</si>
  <si>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</si>
  <si>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</si>
  <si>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</si>
  <si>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</si>
  <si>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</si>
  <si>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</si>
  <si>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</si>
  <si>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</si>
  <si>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</si>
  <si>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</si>
  <si>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</si>
  <si>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</si>
  <si>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</si>
  <si>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</si>
  <si>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</si>
  <si>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</si>
  <si>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</si>
  <si>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</si>
  <si>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</si>
  <si>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</si>
  <si>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</si>
  <si>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</si>
  <si>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</si>
  <si>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</si>
  <si>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</si>
  <si>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</si>
  <si>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</si>
  <si>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</si>
  <si>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</si>
  <si>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</si>
  <si>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</si>
  <si>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</si>
  <si>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</si>
  <si>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</si>
  <si>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</si>
  <si>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</si>
  <si>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</si>
  <si>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</si>
  <si>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</si>
  <si>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</si>
  <si>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</si>
  <si>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</si>
  <si>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</si>
  <si>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</si>
  <si>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</si>
  <si>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</si>
  <si>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</si>
  <si>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</si>
  <si>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</si>
  <si>
    <t>ESTORNO ANUIDADE BR</t>
  </si>
  <si>
    <t>Jose Ronierio Marinho Osasco BR</t>
  </si>
  <si>
    <t>Compra / Vencimento 10/01</t>
  </si>
  <si>
    <t>09/12</t>
  </si>
  <si>
    <t>REST ENTRE AMIGOS RECIFE BR</t>
  </si>
  <si>
    <t>02/12</t>
  </si>
  <si>
    <t>NETFLIX.COM SAO PAULO BR</t>
  </si>
  <si>
    <t>18/12</t>
  </si>
  <si>
    <t>AMAZON BR SAO PAULO BR</t>
  </si>
  <si>
    <t>19/12</t>
  </si>
  <si>
    <t>AMAZONMKTPLC*PUCCIIMPO SAO PAULO BR</t>
  </si>
  <si>
    <t>21/12</t>
  </si>
  <si>
    <t>20/12</t>
  </si>
  <si>
    <t>IFD*SUPERMERCADO GAIVO RECIFE BR</t>
  </si>
  <si>
    <t>22/12</t>
  </si>
  <si>
    <t>03/12</t>
  </si>
  <si>
    <t>UBER CASH SAO PAULO BR</t>
  </si>
  <si>
    <t>04/12</t>
  </si>
  <si>
    <t>UBER * PENDING SAO PAULO BR</t>
  </si>
  <si>
    <t>11/12</t>
  </si>
  <si>
    <t>DL *GOOGLE HBO Max Str SAO PAULO BR</t>
  </si>
  <si>
    <t>07/12</t>
  </si>
  <si>
    <t>DL*GOOGLE Paramo SAO PAULO BR</t>
  </si>
  <si>
    <t>Amazon Prime Aluguel SAO PAULO BR</t>
  </si>
  <si>
    <t>27/09</t>
  </si>
  <si>
    <t>28/10</t>
  </si>
  <si>
    <t>MLP*Magalu Sa PARC 02/04 BRAGANCA PAUBR</t>
  </si>
  <si>
    <t>29/11</t>
  </si>
  <si>
    <t>MERCADOLIVRE* PARC 01/03 FRANCA BR</t>
  </si>
  <si>
    <t>06/12</t>
  </si>
  <si>
    <t>10/12</t>
  </si>
  <si>
    <t>SUPERMERCADO PARC 01/03 RECIFE BR</t>
  </si>
  <si>
    <t>RIACHUELO-FIL PARC 01/03 RECIFE BR</t>
  </si>
  <si>
    <t>12/12</t>
  </si>
  <si>
    <t>ATACADO DOS P PARC 01/02 RECIFE BR</t>
  </si>
  <si>
    <t>23/12</t>
  </si>
  <si>
    <t>HNA PARC 01/10 RECIFE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</si>
</sst>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9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  <font>
      <sz val="10"/>
      <color theme="4" tint="-0.49998474074526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53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7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165" fontId="5" fillId="0" borderId="1" xfId="0" applyNumberFormat="1" applyFont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8" fontId="5" fillId="0" borderId="1" xfId="0" applyNumberFormat="1" applyFont="1" applyFill="1" applyBorder="1" applyAlignment="1">
      <alignment horizontal="left"/>
    </xf>
    <xf numFmtId="0" fontId="4" fillId="9" borderId="7" xfId="0" applyFont="1" applyFill="1" applyBorder="1" applyAlignment="1">
      <alignment horizontal="center" vertical="center"/>
    </xf>
    <xf numFmtId="164" fontId="3" fillId="10" borderId="7" xfId="0" applyNumberFormat="1" applyFont="1" applyFill="1" applyBorder="1" applyAlignment="1">
      <alignment horizontal="center" vertical="center"/>
    </xf>
    <xf numFmtId="165" fontId="4" fillId="5" borderId="8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4" fontId="8" fillId="12" borderId="1" xfId="0" applyNumberFormat="1" applyFont="1" applyFill="1" applyBorder="1" applyAlignment="1">
      <alignment horizontal="center" vertical="center"/>
    </xf>
    <xf numFmtId="165" fontId="8" fillId="13" borderId="1" xfId="0" applyNumberFormat="1" applyFont="1" applyFill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8"/>
  <sheetViews>
    <sheetView tabSelected="1" topLeftCell="A74" zoomScaleNormal="100" workbookViewId="0">
      <selection activeCell="C83" sqref="C83"/>
    </sheetView>
  </sheetViews>
  <sheetFormatPr defaultRowHeight="14.4" x14ac:dyDescent="0.3"/>
  <cols>
    <col min="1" max="1" width="6.88671875" customWidth="1"/>
    <col min="2" max="2" width="49.33203125" customWidth="1"/>
    <col min="3" max="6" width="11" bestFit="1" customWidth="1"/>
    <col min="7" max="10" width="9.44140625" bestFit="1" customWidth="1"/>
    <col min="11" max="11" width="10.109375" bestFit="1" customWidth="1"/>
    <col min="12" max="12" width="9.44140625" bestFit="1" customWidth="1"/>
    <col min="13" max="13" width="10.5546875" bestFit="1" customWidth="1"/>
    <col min="14" max="15" width="12.33203125" bestFit="1" customWidth="1"/>
  </cols>
  <sheetData>
    <row r="1" spans="1:15" x14ac:dyDescent="0.3">
      <c r="A1" s="29">
        <v>2025</v>
      </c>
      <c r="B1" s="29" t="s">
        <v>25</v>
      </c>
      <c r="C1" s="29" t="s">
        <v>9</v>
      </c>
      <c r="D1" s="29" t="s">
        <v>10</v>
      </c>
      <c r="E1" s="29" t="s">
        <v>11</v>
      </c>
      <c r="F1" s="29" t="s">
        <v>12</v>
      </c>
      <c r="G1" s="29" t="s">
        <v>13</v>
      </c>
      <c r="H1" s="29" t="s">
        <v>14</v>
      </c>
      <c r="I1" s="29" t="s">
        <v>15</v>
      </c>
      <c r="J1" s="29" t="s">
        <v>16</v>
      </c>
      <c r="K1" s="29" t="s">
        <v>17</v>
      </c>
      <c r="L1" s="29" t="s">
        <v>18</v>
      </c>
      <c r="M1" s="29" t="s">
        <v>19</v>
      </c>
      <c r="N1" s="29" t="s">
        <v>20</v>
      </c>
      <c r="O1" s="1" t="s">
        <v>21</v>
      </c>
    </row>
    <row r="2" spans="1:15" x14ac:dyDescent="0.3">
      <c r="A2" s="30">
        <v>45971</v>
      </c>
      <c r="B2" s="31" t="s">
        <v>63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2"/>
      <c r="N2" s="16">
        <v>-3647.89</v>
      </c>
      <c r="O2" s="17"/>
    </row>
    <row r="3" spans="1:15" x14ac:dyDescent="0.3">
      <c r="A3" s="33">
        <v>45972</v>
      </c>
      <c r="B3" s="34" t="s">
        <v>64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5"/>
      <c r="N3" s="16">
        <v>-3618.79</v>
      </c>
      <c r="O3" s="17"/>
    </row>
    <row r="4" spans="1:15" x14ac:dyDescent="0.3">
      <c r="A4" s="33">
        <v>45980</v>
      </c>
      <c r="B4" s="34" t="s">
        <v>65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5"/>
      <c r="N4" s="16">
        <v>-379.7</v>
      </c>
      <c r="O4" s="17"/>
    </row>
    <row r="5" spans="1:15" x14ac:dyDescent="0.3">
      <c r="A5" s="18">
        <v>45834</v>
      </c>
      <c r="B5" s="19" t="s">
        <v>22</v>
      </c>
      <c r="C5" s="20"/>
      <c r="D5" s="20"/>
      <c r="E5" s="20"/>
      <c r="F5" s="20"/>
      <c r="G5" s="20"/>
      <c r="H5" s="20"/>
      <c r="I5" s="20"/>
      <c r="J5" s="21">
        <v>54.5</v>
      </c>
      <c r="K5" s="21">
        <v>54.5</v>
      </c>
      <c r="L5" s="21">
        <v>54.5</v>
      </c>
      <c r="M5" s="21">
        <v>54.5</v>
      </c>
      <c r="N5" s="9">
        <v>54.5</v>
      </c>
      <c r="O5" s="9">
        <f>SUM(I5:N5)</f>
        <v>272.5</v>
      </c>
    </row>
    <row r="6" spans="1:15" x14ac:dyDescent="0.3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9">
        <v>22.86</v>
      </c>
      <c r="O6" s="10">
        <f>SUM(L6:N6)</f>
        <v>22.86</v>
      </c>
    </row>
    <row r="7" spans="1:15" x14ac:dyDescent="0.3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9">
        <v>32.93</v>
      </c>
      <c r="O7" s="12">
        <f>SUM(K7:N7)</f>
        <v>65.86</v>
      </c>
    </row>
    <row r="8" spans="1:15" x14ac:dyDescent="0.3">
      <c r="A8" s="7" t="s">
        <v>0</v>
      </c>
      <c r="B8" s="11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9">
        <v>52.81</v>
      </c>
      <c r="O8" s="12">
        <f>SUM(L8:N8)</f>
        <v>52.81</v>
      </c>
    </row>
    <row r="9" spans="1:15" x14ac:dyDescent="0.3">
      <c r="A9" s="7" t="s">
        <v>0</v>
      </c>
      <c r="B9" s="11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9">
        <v>29.8</v>
      </c>
      <c r="O9" s="12">
        <f>SUM(L9:N9)</f>
        <v>29.8</v>
      </c>
    </row>
    <row r="10" spans="1:15" x14ac:dyDescent="0.3">
      <c r="A10" s="7" t="s">
        <v>3</v>
      </c>
      <c r="B10" s="11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9">
        <v>58.1</v>
      </c>
      <c r="O10" s="12">
        <f>SUM(L10:N10)</f>
        <v>174.3</v>
      </c>
    </row>
    <row r="11" spans="1:15" x14ac:dyDescent="0.3">
      <c r="A11" s="7" t="s">
        <v>5</v>
      </c>
      <c r="B11" s="11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9">
        <v>84</v>
      </c>
      <c r="O11" s="12">
        <f>SUM(M11,N11)</f>
        <v>168</v>
      </c>
    </row>
    <row r="12" spans="1:15" x14ac:dyDescent="0.3">
      <c r="A12" s="11" t="s">
        <v>7</v>
      </c>
      <c r="B12" s="11" t="s">
        <v>8</v>
      </c>
      <c r="C12" s="4"/>
      <c r="D12" s="4"/>
      <c r="E12" s="4"/>
      <c r="F12" s="4"/>
      <c r="G12" s="15">
        <v>183.99</v>
      </c>
      <c r="H12" s="15">
        <v>183.99</v>
      </c>
      <c r="I12" s="15">
        <v>183.99</v>
      </c>
      <c r="J12" s="15">
        <v>183.99</v>
      </c>
      <c r="K12" s="15">
        <v>183.99</v>
      </c>
      <c r="L12" s="15">
        <v>183.99</v>
      </c>
      <c r="M12" s="15">
        <v>183.99</v>
      </c>
      <c r="N12" s="9">
        <v>183.99</v>
      </c>
      <c r="O12" s="9">
        <f>SUM(F12:M12)</f>
        <v>1287.93</v>
      </c>
    </row>
    <row r="13" spans="1:15" x14ac:dyDescent="0.3">
      <c r="A13" s="7">
        <v>45964</v>
      </c>
      <c r="B13" s="11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2">
        <v>63.3</v>
      </c>
      <c r="O13" s="6"/>
    </row>
    <row r="14" spans="1:15" x14ac:dyDescent="0.3">
      <c r="A14" s="7">
        <v>45965</v>
      </c>
      <c r="B14" s="11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2">
        <v>75.040000000000006</v>
      </c>
      <c r="O14" s="12">
        <v>75.040000000000006</v>
      </c>
    </row>
    <row r="15" spans="1:15" x14ac:dyDescent="0.3">
      <c r="A15" s="7">
        <v>45965</v>
      </c>
      <c r="B15" s="11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2">
        <v>121.26</v>
      </c>
      <c r="O15" s="12">
        <v>121.26</v>
      </c>
    </row>
    <row r="16" spans="1:15" x14ac:dyDescent="0.3">
      <c r="A16" s="7">
        <v>45905</v>
      </c>
      <c r="B16" s="11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2">
        <v>55.74</v>
      </c>
      <c r="O16" s="12">
        <v>55.74</v>
      </c>
    </row>
    <row r="17" spans="1:15" x14ac:dyDescent="0.3">
      <c r="A17" s="7">
        <v>45905</v>
      </c>
      <c r="B17" s="11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4">
        <v>71.989999999999995</v>
      </c>
      <c r="M17" s="14">
        <v>71.989999999999995</v>
      </c>
      <c r="N17" s="12">
        <v>71.989999999999995</v>
      </c>
      <c r="O17" s="12">
        <f>SUM(L17,M17,N17)</f>
        <v>215.96999999999997</v>
      </c>
    </row>
    <row r="18" spans="1:15" x14ac:dyDescent="0.3">
      <c r="A18" s="7">
        <v>45966</v>
      </c>
      <c r="B18" s="11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2">
        <v>729.61</v>
      </c>
      <c r="O18" s="12">
        <v>729.61</v>
      </c>
    </row>
    <row r="19" spans="1:15" x14ac:dyDescent="0.3">
      <c r="A19" s="7">
        <v>45966</v>
      </c>
      <c r="B19" s="11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2">
        <v>723.79</v>
      </c>
      <c r="O19" s="12">
        <v>723.79</v>
      </c>
    </row>
    <row r="20" spans="1:15" x14ac:dyDescent="0.3">
      <c r="A20" s="7">
        <v>45936</v>
      </c>
      <c r="B20" s="11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4">
        <v>210.89</v>
      </c>
      <c r="N20" s="12">
        <v>210.89</v>
      </c>
      <c r="O20" s="12">
        <f>SUM(M20:N20)</f>
        <v>421.78</v>
      </c>
    </row>
    <row r="21" spans="1:15" x14ac:dyDescent="0.3">
      <c r="A21" s="7">
        <v>45876</v>
      </c>
      <c r="B21" s="11" t="s">
        <v>33</v>
      </c>
      <c r="C21" s="4"/>
      <c r="D21" s="4"/>
      <c r="E21" s="4"/>
      <c r="F21" s="4"/>
      <c r="G21" s="4"/>
      <c r="H21" s="4"/>
      <c r="I21" s="4"/>
      <c r="J21" s="4"/>
      <c r="K21" s="14">
        <v>83.88</v>
      </c>
      <c r="L21" s="14">
        <v>83.88</v>
      </c>
      <c r="M21" s="14">
        <v>83.88</v>
      </c>
      <c r="N21" s="12">
        <v>83.88</v>
      </c>
      <c r="O21" s="12">
        <f>SUM(K21:N21)</f>
        <v>335.52</v>
      </c>
    </row>
    <row r="22" spans="1:15" x14ac:dyDescent="0.3">
      <c r="A22" s="7">
        <v>45966</v>
      </c>
      <c r="B22" s="11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2">
        <v>729.57</v>
      </c>
      <c r="O22" s="6"/>
    </row>
    <row r="23" spans="1:15" x14ac:dyDescent="0.3">
      <c r="A23" s="7">
        <v>45966</v>
      </c>
      <c r="B23" s="11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2">
        <v>729.57</v>
      </c>
      <c r="O23" s="6"/>
    </row>
    <row r="24" spans="1:15" x14ac:dyDescent="0.3">
      <c r="A24" s="7">
        <v>45966</v>
      </c>
      <c r="B24" s="11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2">
        <v>729.57</v>
      </c>
      <c r="O24" s="6"/>
    </row>
    <row r="25" spans="1:15" x14ac:dyDescent="0.3">
      <c r="A25" s="7">
        <v>45966</v>
      </c>
      <c r="B25" s="11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2">
        <v>729.57</v>
      </c>
      <c r="O25" s="6"/>
    </row>
    <row r="26" spans="1:15" x14ac:dyDescent="0.3">
      <c r="A26" s="7">
        <v>45966</v>
      </c>
      <c r="B26" s="11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2">
        <v>723.75</v>
      </c>
      <c r="O26" s="6"/>
    </row>
    <row r="27" spans="1:15" x14ac:dyDescent="0.3">
      <c r="A27" s="7">
        <v>45966</v>
      </c>
      <c r="B27" s="11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2">
        <v>723.75</v>
      </c>
      <c r="O27" s="6"/>
    </row>
    <row r="28" spans="1:15" x14ac:dyDescent="0.3">
      <c r="A28" s="7">
        <v>45966</v>
      </c>
      <c r="B28" s="11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2">
        <v>723.75</v>
      </c>
      <c r="O28" s="6"/>
    </row>
    <row r="29" spans="1:15" x14ac:dyDescent="0.3">
      <c r="A29" s="7">
        <v>45966</v>
      </c>
      <c r="B29" s="11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9">
        <v>723.75</v>
      </c>
      <c r="O29" s="6"/>
    </row>
    <row r="30" spans="1:15" x14ac:dyDescent="0.3">
      <c r="A30" s="7">
        <v>45908</v>
      </c>
      <c r="B30" s="11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4">
        <v>29.73</v>
      </c>
      <c r="M30" s="14">
        <v>29.73</v>
      </c>
      <c r="N30" s="12">
        <v>29.73</v>
      </c>
      <c r="O30" s="12">
        <f>SUM(L30:N30)</f>
        <v>89.19</v>
      </c>
    </row>
    <row r="31" spans="1:15" x14ac:dyDescent="0.3">
      <c r="A31" s="7">
        <v>45878</v>
      </c>
      <c r="B31" s="11" t="s">
        <v>43</v>
      </c>
      <c r="C31" s="4"/>
      <c r="D31" s="4"/>
      <c r="E31" s="4"/>
      <c r="F31" s="4"/>
      <c r="G31" s="4"/>
      <c r="H31" s="4"/>
      <c r="I31" s="4"/>
      <c r="J31" s="4"/>
      <c r="K31" s="14">
        <v>78.55</v>
      </c>
      <c r="L31" s="14">
        <v>78.55</v>
      </c>
      <c r="M31" s="14">
        <v>78.55</v>
      </c>
      <c r="N31" s="12">
        <v>78.55</v>
      </c>
      <c r="O31" s="12">
        <f>SUM(K31:N31)</f>
        <v>314.2</v>
      </c>
    </row>
    <row r="32" spans="1:15" x14ac:dyDescent="0.3">
      <c r="A32" s="7">
        <v>45941</v>
      </c>
      <c r="B32" s="11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2">
        <v>119.71</v>
      </c>
      <c r="O32" s="12">
        <v>119.71</v>
      </c>
    </row>
    <row r="33" spans="1:15" x14ac:dyDescent="0.3">
      <c r="A33" s="7">
        <v>45942</v>
      </c>
      <c r="B33" s="11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4">
        <v>62.43</v>
      </c>
      <c r="N33" s="12">
        <v>62.43</v>
      </c>
      <c r="O33" s="12">
        <f>SUM(M33:N33)</f>
        <v>124.86</v>
      </c>
    </row>
    <row r="34" spans="1:15" x14ac:dyDescent="0.3">
      <c r="A34" s="7">
        <v>45942</v>
      </c>
      <c r="B34" s="11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4">
        <v>20.47</v>
      </c>
      <c r="N34" s="12">
        <v>20.47</v>
      </c>
      <c r="O34" s="12">
        <f>SUM(M34:N34)</f>
        <v>40.94</v>
      </c>
    </row>
    <row r="35" spans="1:15" x14ac:dyDescent="0.3">
      <c r="A35" s="7">
        <v>45701</v>
      </c>
      <c r="B35" s="11" t="s">
        <v>47</v>
      </c>
      <c r="C35" s="4"/>
      <c r="D35" s="4"/>
      <c r="E35" s="14">
        <v>103.24</v>
      </c>
      <c r="F35" s="14">
        <v>103.24</v>
      </c>
      <c r="G35" s="14">
        <v>103.24</v>
      </c>
      <c r="H35" s="14">
        <v>103.24</v>
      </c>
      <c r="I35" s="14">
        <v>103.24</v>
      </c>
      <c r="J35" s="14">
        <v>103.24</v>
      </c>
      <c r="K35" s="14">
        <v>103.24</v>
      </c>
      <c r="L35" s="14">
        <v>103.24</v>
      </c>
      <c r="M35" s="14">
        <v>103.24</v>
      </c>
      <c r="N35" s="12">
        <v>103.24</v>
      </c>
      <c r="O35" s="12">
        <f>SUM(E35:N35)</f>
        <v>1032.3999999999999</v>
      </c>
    </row>
    <row r="36" spans="1:15" x14ac:dyDescent="0.3">
      <c r="A36" s="7">
        <v>45702</v>
      </c>
      <c r="B36" s="11" t="s">
        <v>48</v>
      </c>
      <c r="C36" s="4"/>
      <c r="D36" s="4"/>
      <c r="E36" s="14">
        <v>111.65</v>
      </c>
      <c r="F36" s="14">
        <v>111.65</v>
      </c>
      <c r="G36" s="14">
        <v>111.65</v>
      </c>
      <c r="H36" s="14">
        <v>111.65</v>
      </c>
      <c r="I36" s="14">
        <v>111.65</v>
      </c>
      <c r="J36" s="14">
        <v>111.65</v>
      </c>
      <c r="K36" s="14">
        <v>111.65</v>
      </c>
      <c r="L36" s="14">
        <v>111.65</v>
      </c>
      <c r="M36" s="14">
        <v>111.65</v>
      </c>
      <c r="N36" s="12">
        <v>111.65</v>
      </c>
      <c r="O36" s="12">
        <f>SUM(E36:N36)</f>
        <v>1116.5</v>
      </c>
    </row>
    <row r="37" spans="1:15" x14ac:dyDescent="0.3">
      <c r="A37" s="7">
        <v>45915</v>
      </c>
      <c r="B37" s="11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5">
        <v>130.41999999999999</v>
      </c>
      <c r="M37" s="15">
        <v>130.41999999999999</v>
      </c>
      <c r="N37" s="9">
        <v>130.41999999999999</v>
      </c>
      <c r="O37" s="9">
        <f>SUM(L37:N37)</f>
        <v>391.26</v>
      </c>
    </row>
    <row r="38" spans="1:15" x14ac:dyDescent="0.3">
      <c r="A38" s="7">
        <v>45964</v>
      </c>
      <c r="B38" s="11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2">
        <v>63.28</v>
      </c>
      <c r="O38" s="6"/>
    </row>
    <row r="39" spans="1:15" x14ac:dyDescent="0.3">
      <c r="A39" s="7">
        <v>45964</v>
      </c>
      <c r="B39" s="11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2">
        <v>63.28</v>
      </c>
      <c r="O39" s="6"/>
    </row>
    <row r="40" spans="1:15" x14ac:dyDescent="0.3">
      <c r="A40" s="7">
        <v>45964</v>
      </c>
      <c r="B40" s="11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2">
        <v>63.28</v>
      </c>
      <c r="O40" s="6"/>
    </row>
    <row r="41" spans="1:15" x14ac:dyDescent="0.3">
      <c r="A41" s="7">
        <v>45964</v>
      </c>
      <c r="B41" s="1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2">
        <v>63.28</v>
      </c>
      <c r="O41" s="6"/>
    </row>
    <row r="42" spans="1:15" x14ac:dyDescent="0.3">
      <c r="A42" s="7">
        <v>45964</v>
      </c>
      <c r="B42" s="11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2">
        <v>63.28</v>
      </c>
      <c r="O42" s="6"/>
    </row>
    <row r="43" spans="1:15" x14ac:dyDescent="0.3">
      <c r="A43" s="7">
        <v>45858</v>
      </c>
      <c r="B43" s="11" t="s">
        <v>54</v>
      </c>
      <c r="C43" s="4"/>
      <c r="D43" s="4"/>
      <c r="E43" s="4"/>
      <c r="F43" s="4"/>
      <c r="G43" s="4"/>
      <c r="H43" s="4"/>
      <c r="I43" s="4"/>
      <c r="J43" s="14">
        <v>59.99</v>
      </c>
      <c r="K43" s="14">
        <v>59.99</v>
      </c>
      <c r="L43" s="14">
        <v>59.99</v>
      </c>
      <c r="M43" s="14">
        <v>59.99</v>
      </c>
      <c r="N43" s="12">
        <v>59.99</v>
      </c>
      <c r="O43" s="12">
        <f>SUM(J43:N43)</f>
        <v>299.95</v>
      </c>
    </row>
    <row r="44" spans="1:15" x14ac:dyDescent="0.3">
      <c r="A44" s="7">
        <v>45858</v>
      </c>
      <c r="B44" s="11" t="s">
        <v>55</v>
      </c>
      <c r="C44" s="4"/>
      <c r="D44" s="4"/>
      <c r="E44" s="4"/>
      <c r="F44" s="4"/>
      <c r="G44" s="4"/>
      <c r="H44" s="4"/>
      <c r="I44" s="4"/>
      <c r="J44" s="14">
        <v>52.74</v>
      </c>
      <c r="K44" s="14">
        <v>52.74</v>
      </c>
      <c r="L44" s="14">
        <v>52.74</v>
      </c>
      <c r="M44" s="14">
        <v>52.74</v>
      </c>
      <c r="N44" s="12">
        <v>52.74</v>
      </c>
      <c r="O44" s="12">
        <f>SUM(J44:N44)</f>
        <v>263.7</v>
      </c>
    </row>
    <row r="45" spans="1:15" x14ac:dyDescent="0.3">
      <c r="A45" s="7">
        <v>45923</v>
      </c>
      <c r="B45" s="11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2">
        <v>290.99</v>
      </c>
      <c r="O45" s="12">
        <v>290.99</v>
      </c>
    </row>
    <row r="46" spans="1:15" x14ac:dyDescent="0.3">
      <c r="A46" s="7">
        <v>45984</v>
      </c>
      <c r="B46" s="11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2">
        <v>52.27</v>
      </c>
      <c r="O46" s="12">
        <v>52.27</v>
      </c>
    </row>
    <row r="47" spans="1:15" x14ac:dyDescent="0.3">
      <c r="A47" s="7">
        <v>45984</v>
      </c>
      <c r="B47" s="11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2">
        <v>75.28</v>
      </c>
      <c r="O47" s="12">
        <v>75.28</v>
      </c>
    </row>
    <row r="48" spans="1:15" x14ac:dyDescent="0.3">
      <c r="A48" s="7">
        <v>45984</v>
      </c>
      <c r="B48" s="11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2">
        <v>37.64</v>
      </c>
      <c r="O48" s="12">
        <v>37.64</v>
      </c>
    </row>
    <row r="49" spans="1:15" x14ac:dyDescent="0.3">
      <c r="A49" s="7">
        <v>45954</v>
      </c>
      <c r="B49" s="11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2">
        <v>96.66</v>
      </c>
      <c r="O49" s="12">
        <v>96.66</v>
      </c>
    </row>
    <row r="50" spans="1:15" x14ac:dyDescent="0.3">
      <c r="A50" s="7">
        <v>45954</v>
      </c>
      <c r="B50" s="11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2">
        <v>40.32</v>
      </c>
      <c r="O50" s="12">
        <v>40.32</v>
      </c>
    </row>
    <row r="51" spans="1:15" x14ac:dyDescent="0.3">
      <c r="A51" s="7">
        <v>45954</v>
      </c>
      <c r="B51" s="11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2">
        <v>99.73</v>
      </c>
      <c r="O51" s="12">
        <v>99.73</v>
      </c>
    </row>
    <row r="52" spans="1:15" x14ac:dyDescent="0.3">
      <c r="A52" s="7">
        <v>45954</v>
      </c>
      <c r="B52" s="11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2">
        <v>162.52000000000001</v>
      </c>
      <c r="O52" s="12">
        <v>162.52000000000001</v>
      </c>
    </row>
    <row r="53" spans="1:15" x14ac:dyDescent="0.3">
      <c r="A53" s="7">
        <v>45987</v>
      </c>
      <c r="B53" s="11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2">
        <v>44.81</v>
      </c>
      <c r="O53" s="12">
        <v>44.81</v>
      </c>
    </row>
    <row r="54" spans="1:15" x14ac:dyDescent="0.3">
      <c r="A54" s="7">
        <v>45987</v>
      </c>
      <c r="B54" s="11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9">
        <v>31.06</v>
      </c>
      <c r="O54" s="9">
        <v>31.06</v>
      </c>
    </row>
    <row r="55" spans="1:15" x14ac:dyDescent="0.3">
      <c r="A55" s="7">
        <v>45988</v>
      </c>
      <c r="B55" s="11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2">
        <v>55.74</v>
      </c>
      <c r="O55" s="12">
        <v>55.74</v>
      </c>
    </row>
    <row r="56" spans="1:15" x14ac:dyDescent="0.3">
      <c r="A56" s="43" t="s">
        <v>86</v>
      </c>
      <c r="B56" s="44"/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4"/>
      <c r="N56" s="12">
        <f>SUM(N2:N55)</f>
        <v>2893.7400000000007</v>
      </c>
      <c r="O56" s="38">
        <f>SUM(N56)</f>
        <v>2893.7400000000007</v>
      </c>
    </row>
    <row r="57" spans="1:15" x14ac:dyDescent="0.3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1:15" x14ac:dyDescent="0.3">
      <c r="A58" s="37" t="s">
        <v>66</v>
      </c>
      <c r="B58" s="37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2">
        <v>68.209999999999994</v>
      </c>
      <c r="O58" s="6"/>
    </row>
    <row r="59" spans="1:15" x14ac:dyDescent="0.3">
      <c r="A59" s="11" t="s">
        <v>0</v>
      </c>
      <c r="B59" s="37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2">
        <v>136.86000000000001</v>
      </c>
      <c r="O59" s="6"/>
    </row>
    <row r="60" spans="1:15" x14ac:dyDescent="0.3">
      <c r="A60" s="37" t="s">
        <v>66</v>
      </c>
      <c r="B60" s="37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2">
        <v>45.61</v>
      </c>
      <c r="O60" s="6"/>
    </row>
    <row r="61" spans="1:15" x14ac:dyDescent="0.3">
      <c r="A61" s="37" t="s">
        <v>3</v>
      </c>
      <c r="B61" s="37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2">
        <v>14.9</v>
      </c>
      <c r="O61" s="6"/>
    </row>
    <row r="62" spans="1:15" x14ac:dyDescent="0.3">
      <c r="A62" s="37" t="s">
        <v>67</v>
      </c>
      <c r="B62" s="37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2">
        <v>90</v>
      </c>
      <c r="O62" s="6"/>
    </row>
    <row r="63" spans="1:15" x14ac:dyDescent="0.3">
      <c r="A63" s="37" t="s">
        <v>68</v>
      </c>
      <c r="B63" s="37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2">
        <v>16.399999999999999</v>
      </c>
      <c r="O63" s="6"/>
    </row>
    <row r="64" spans="1:15" x14ac:dyDescent="0.3">
      <c r="A64" s="37" t="s">
        <v>68</v>
      </c>
      <c r="B64" s="37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2">
        <v>60.9</v>
      </c>
      <c r="O64" s="6"/>
    </row>
    <row r="65" spans="1:17" x14ac:dyDescent="0.3">
      <c r="A65" s="37" t="s">
        <v>68</v>
      </c>
      <c r="B65" s="37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2">
        <v>38.700000000000003</v>
      </c>
      <c r="O65" s="6"/>
    </row>
    <row r="66" spans="1:17" x14ac:dyDescent="0.3">
      <c r="A66" s="37" t="s">
        <v>69</v>
      </c>
      <c r="B66" s="37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2">
        <v>37.950000000000003</v>
      </c>
      <c r="O66" s="6"/>
    </row>
    <row r="67" spans="1:17" x14ac:dyDescent="0.3">
      <c r="A67" s="37" t="s">
        <v>69</v>
      </c>
      <c r="B67" s="37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2">
        <v>99.34</v>
      </c>
      <c r="O67" s="6"/>
    </row>
    <row r="68" spans="1:17" x14ac:dyDescent="0.3">
      <c r="A68" s="37" t="s">
        <v>69</v>
      </c>
      <c r="B68" s="37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2">
        <v>42.28</v>
      </c>
      <c r="O68" s="6"/>
    </row>
    <row r="69" spans="1:17" x14ac:dyDescent="0.3">
      <c r="A69" s="37" t="s">
        <v>70</v>
      </c>
      <c r="B69" s="37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2">
        <v>71.81</v>
      </c>
      <c r="O69" s="6"/>
    </row>
    <row r="70" spans="1:17" x14ac:dyDescent="0.3">
      <c r="A70" s="37" t="s">
        <v>71</v>
      </c>
      <c r="B70" s="37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2">
        <v>16.899999999999999</v>
      </c>
      <c r="O70" s="6"/>
    </row>
    <row r="71" spans="1:17" x14ac:dyDescent="0.3">
      <c r="A71" s="37" t="s">
        <v>72</v>
      </c>
      <c r="B71" s="37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2">
        <v>1.99</v>
      </c>
      <c r="O71" s="6"/>
    </row>
    <row r="72" spans="1:17" x14ac:dyDescent="0.3">
      <c r="A72" s="37" t="s">
        <v>73</v>
      </c>
      <c r="B72" s="37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2">
        <v>31.9</v>
      </c>
      <c r="O72" s="6"/>
    </row>
    <row r="73" spans="1:17" x14ac:dyDescent="0.3">
      <c r="A73" s="37" t="s">
        <v>90</v>
      </c>
      <c r="B73" s="37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2">
        <v>167</v>
      </c>
      <c r="O73" s="6"/>
    </row>
    <row r="74" spans="1:17" x14ac:dyDescent="0.3">
      <c r="A74" s="37" t="s">
        <v>94</v>
      </c>
      <c r="B74" s="37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2">
        <v>45.5</v>
      </c>
      <c r="O74" s="6"/>
    </row>
    <row r="75" spans="1:17" x14ac:dyDescent="0.3">
      <c r="A75" s="37" t="s">
        <v>68</v>
      </c>
      <c r="B75" s="37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2">
        <v>10</v>
      </c>
      <c r="O75" s="6"/>
    </row>
    <row r="76" spans="1:17" x14ac:dyDescent="0.3">
      <c r="A76" s="37" t="s">
        <v>93</v>
      </c>
      <c r="B76" s="37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2">
        <v>16.899999999999999</v>
      </c>
      <c r="O76" s="6"/>
    </row>
    <row r="77" spans="1:17" x14ac:dyDescent="0.3">
      <c r="A77" s="43" t="s">
        <v>87</v>
      </c>
      <c r="B77" s="44"/>
      <c r="C77" s="22"/>
      <c r="D77" s="23"/>
      <c r="E77" s="23"/>
      <c r="F77" s="23"/>
      <c r="G77" s="23"/>
      <c r="H77" s="23"/>
      <c r="I77" s="23"/>
      <c r="J77" s="23"/>
      <c r="K77" s="23"/>
      <c r="L77" s="23"/>
      <c r="M77" s="24"/>
      <c r="N77" s="38">
        <f>SUM(N58:N76)</f>
        <v>1013.1499999999997</v>
      </c>
      <c r="O77" s="12">
        <f>SUM(N77)</f>
        <v>1013.1499999999997</v>
      </c>
    </row>
    <row r="78" spans="1:17" x14ac:dyDescent="0.3">
      <c r="A78" s="43" t="s">
        <v>88</v>
      </c>
      <c r="B78" s="44"/>
      <c r="C78" s="22"/>
      <c r="D78" s="23"/>
      <c r="E78" s="23"/>
      <c r="F78" s="23"/>
      <c r="G78" s="23"/>
      <c r="H78" s="23"/>
      <c r="I78" s="23"/>
      <c r="J78" s="23"/>
      <c r="K78" s="23"/>
      <c r="L78" s="23"/>
      <c r="M78" s="24"/>
      <c r="N78" s="12">
        <f>SUM(N56,N77)</f>
        <v>3906.8900000000003</v>
      </c>
      <c r="O78" s="25">
        <f>SUM(N78)</f>
        <v>3906.8900000000003</v>
      </c>
      <c r="Q78" s="39"/>
    </row>
    <row r="79" spans="1:17" x14ac:dyDescent="0.3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1:17" x14ac:dyDescent="0.3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Q80" s="39"/>
    </row>
    <row r="81" spans="1:15" x14ac:dyDescent="0.3">
      <c r="A81" s="26">
        <v>2026</v>
      </c>
      <c r="B81" s="13" t="s">
        <v>120</v>
      </c>
      <c r="C81" s="13" t="s">
        <v>9</v>
      </c>
      <c r="D81" s="13" t="s">
        <v>10</v>
      </c>
      <c r="E81" s="13" t="s">
        <v>11</v>
      </c>
      <c r="F81" s="13" t="s">
        <v>12</v>
      </c>
      <c r="G81" s="13" t="s">
        <v>13</v>
      </c>
      <c r="H81" s="13" t="s">
        <v>14</v>
      </c>
      <c r="I81" s="13" t="s">
        <v>15</v>
      </c>
      <c r="J81" s="13" t="s">
        <v>16</v>
      </c>
      <c r="K81" s="13" t="s">
        <v>17</v>
      </c>
      <c r="L81" s="13" t="s">
        <v>18</v>
      </c>
      <c r="M81" s="13" t="s">
        <v>19</v>
      </c>
      <c r="N81" s="13" t="s">
        <v>20</v>
      </c>
      <c r="O81" s="3" t="s">
        <v>21</v>
      </c>
    </row>
    <row r="82" spans="1:15" x14ac:dyDescent="0.3">
      <c r="A82" s="47">
        <v>46358</v>
      </c>
      <c r="B82" s="48" t="s">
        <v>118</v>
      </c>
      <c r="C82" s="2">
        <v>-45.5</v>
      </c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17"/>
    </row>
    <row r="83" spans="1:15" x14ac:dyDescent="0.3">
      <c r="A83" s="7">
        <v>45834</v>
      </c>
      <c r="B83" s="27" t="s">
        <v>96</v>
      </c>
      <c r="C83" s="9">
        <v>54.5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9">
        <f>SUM(C83)</f>
        <v>54.5</v>
      </c>
    </row>
    <row r="84" spans="1:15" x14ac:dyDescent="0.3">
      <c r="A84" s="51" t="s">
        <v>142</v>
      </c>
      <c r="B84" s="52" t="s">
        <v>29</v>
      </c>
      <c r="C84" s="53">
        <v>34.090000000000003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9"/>
    </row>
    <row r="85" spans="1:15" x14ac:dyDescent="0.3">
      <c r="A85" s="51" t="s">
        <v>143</v>
      </c>
      <c r="B85" s="52" t="s">
        <v>32</v>
      </c>
      <c r="C85" s="53">
        <v>165.26</v>
      </c>
      <c r="D85" s="53">
        <v>165.26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9"/>
    </row>
    <row r="86" spans="1:15" x14ac:dyDescent="0.3">
      <c r="A86" s="51" t="s">
        <v>143</v>
      </c>
      <c r="B86" s="52" t="s">
        <v>144</v>
      </c>
      <c r="C86" s="53">
        <v>29.58</v>
      </c>
      <c r="D86" s="53">
        <v>29.58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9"/>
    </row>
    <row r="87" spans="1:15" x14ac:dyDescent="0.3">
      <c r="A87" s="7">
        <v>45959</v>
      </c>
      <c r="B87" s="27" t="s">
        <v>97</v>
      </c>
      <c r="C87" s="9">
        <v>22.86</v>
      </c>
      <c r="D87" s="9">
        <v>22.86</v>
      </c>
      <c r="E87" s="9">
        <v>22.86</v>
      </c>
      <c r="F87" s="9">
        <v>22.86</v>
      </c>
      <c r="G87" s="4"/>
      <c r="H87" s="4"/>
      <c r="I87" s="4"/>
      <c r="J87" s="4"/>
      <c r="K87" s="4"/>
      <c r="L87" s="4"/>
      <c r="M87" s="4"/>
      <c r="N87" s="4"/>
      <c r="O87" s="12">
        <f>SUM(C87:N87)</f>
        <v>91.44</v>
      </c>
    </row>
    <row r="88" spans="1:15" x14ac:dyDescent="0.3">
      <c r="A88" s="54" t="s">
        <v>145</v>
      </c>
      <c r="B88" s="55" t="s">
        <v>146</v>
      </c>
      <c r="C88" s="56">
        <v>21.63</v>
      </c>
      <c r="D88" s="56">
        <v>21.63</v>
      </c>
      <c r="E88" s="56">
        <v>21.63</v>
      </c>
      <c r="F88" s="4"/>
      <c r="G88" s="4"/>
      <c r="H88" s="4"/>
      <c r="I88" s="4"/>
      <c r="J88" s="4"/>
      <c r="K88" s="4"/>
      <c r="L88" s="4"/>
      <c r="M88" s="4"/>
      <c r="N88" s="4"/>
      <c r="O88" s="12"/>
    </row>
    <row r="89" spans="1:15" x14ac:dyDescent="0.3">
      <c r="A89" s="7" t="s">
        <v>0</v>
      </c>
      <c r="B89" s="28" t="s">
        <v>99</v>
      </c>
      <c r="C89" s="9">
        <v>52.81</v>
      </c>
      <c r="D89" s="9">
        <v>52.81</v>
      </c>
      <c r="E89" s="9">
        <v>52.81</v>
      </c>
      <c r="F89" s="4"/>
      <c r="G89" s="4"/>
      <c r="H89" s="4"/>
      <c r="I89" s="4"/>
      <c r="J89" s="4"/>
      <c r="K89" s="4"/>
      <c r="L89" s="4"/>
      <c r="M89" s="4"/>
      <c r="N89" s="4"/>
      <c r="O89" s="12">
        <f>SUM(C89,D89,E89)</f>
        <v>158.43</v>
      </c>
    </row>
    <row r="90" spans="1:15" x14ac:dyDescent="0.3">
      <c r="A90" s="7" t="s">
        <v>0</v>
      </c>
      <c r="B90" s="28" t="s">
        <v>100</v>
      </c>
      <c r="C90" s="9">
        <v>29.8</v>
      </c>
      <c r="D90" s="9">
        <v>29.8</v>
      </c>
      <c r="E90" s="9">
        <v>29.8</v>
      </c>
      <c r="F90" s="9">
        <v>29.8</v>
      </c>
      <c r="G90" s="4"/>
      <c r="H90" s="4"/>
      <c r="I90" s="4"/>
      <c r="J90" s="4"/>
      <c r="K90" s="4"/>
      <c r="L90" s="4"/>
      <c r="M90" s="4"/>
      <c r="N90" s="4"/>
      <c r="O90" s="12">
        <f>SUM(C90:F90)</f>
        <v>119.2</v>
      </c>
    </row>
    <row r="91" spans="1:15" x14ac:dyDescent="0.3">
      <c r="A91" s="7">
        <v>45930</v>
      </c>
      <c r="B91" s="27" t="s">
        <v>98</v>
      </c>
      <c r="C91" s="9">
        <v>32.93</v>
      </c>
      <c r="D91" s="9">
        <v>32.93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5">
        <f>SUM(C91:D91)</f>
        <v>65.86</v>
      </c>
    </row>
    <row r="92" spans="1:15" x14ac:dyDescent="0.3">
      <c r="A92" s="7" t="s">
        <v>3</v>
      </c>
      <c r="B92" s="28" t="s">
        <v>46</v>
      </c>
      <c r="C92" s="9">
        <v>58.09</v>
      </c>
      <c r="D92" s="9">
        <v>58.09</v>
      </c>
      <c r="E92" s="9">
        <v>58.09</v>
      </c>
      <c r="F92" s="4"/>
      <c r="G92" s="4"/>
      <c r="H92" s="4"/>
      <c r="I92" s="4"/>
      <c r="J92" s="4"/>
      <c r="K92" s="4"/>
      <c r="L92" s="4"/>
      <c r="M92" s="4"/>
      <c r="N92" s="4"/>
      <c r="O92" s="12">
        <f>SUM(C92:N92)</f>
        <v>174.27</v>
      </c>
    </row>
    <row r="93" spans="1:15" x14ac:dyDescent="0.3">
      <c r="A93" s="7" t="s">
        <v>7</v>
      </c>
      <c r="B93" s="28" t="s">
        <v>101</v>
      </c>
      <c r="C93" s="9">
        <v>183.99</v>
      </c>
      <c r="D93" s="9">
        <v>183.99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12">
        <f>SUM(C93,D93)</f>
        <v>367.98</v>
      </c>
    </row>
    <row r="94" spans="1:15" x14ac:dyDescent="0.3">
      <c r="A94" s="7">
        <v>45965</v>
      </c>
      <c r="B94" s="28" t="s">
        <v>45</v>
      </c>
      <c r="C94" s="12">
        <v>75.040000000000006</v>
      </c>
      <c r="D94" s="12">
        <v>75.040000000000006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SUM(C94:N94)</f>
        <v>150.08000000000001</v>
      </c>
    </row>
    <row r="95" spans="1:15" x14ac:dyDescent="0.3">
      <c r="A95" s="7">
        <v>45965</v>
      </c>
      <c r="B95" s="28" t="s">
        <v>102</v>
      </c>
      <c r="C95" s="12">
        <v>121.25</v>
      </c>
      <c r="D95" s="12">
        <v>121.25</v>
      </c>
      <c r="E95" s="12">
        <v>121.25</v>
      </c>
      <c r="F95" s="12">
        <v>121.25</v>
      </c>
      <c r="G95" s="12">
        <v>121.25</v>
      </c>
      <c r="H95" s="4"/>
      <c r="I95" s="4"/>
      <c r="J95" s="4"/>
      <c r="K95" s="4"/>
      <c r="L95" s="4"/>
      <c r="M95" s="4"/>
      <c r="N95" s="4"/>
      <c r="O95" s="9">
        <f>SUM(C95:G95)</f>
        <v>606.25</v>
      </c>
    </row>
    <row r="96" spans="1:15" x14ac:dyDescent="0.3">
      <c r="A96" s="7">
        <v>45905</v>
      </c>
      <c r="B96" s="28" t="s">
        <v>103</v>
      </c>
      <c r="C96" s="12">
        <v>71.989999999999995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71.989999999999995</v>
      </c>
    </row>
    <row r="97" spans="1:15" x14ac:dyDescent="0.3">
      <c r="A97" s="54" t="s">
        <v>147</v>
      </c>
      <c r="B97" s="56" t="s">
        <v>28</v>
      </c>
      <c r="C97" s="56">
        <v>114.59</v>
      </c>
      <c r="D97" s="56">
        <v>114.59</v>
      </c>
      <c r="E97" s="56">
        <v>114.59</v>
      </c>
      <c r="F97" s="56">
        <v>114.59</v>
      </c>
      <c r="G97" s="56">
        <v>114.59</v>
      </c>
      <c r="H97" s="56">
        <v>114.59</v>
      </c>
      <c r="I97" s="4"/>
      <c r="J97" s="4"/>
      <c r="K97" s="4"/>
      <c r="L97" s="4"/>
      <c r="M97" s="4"/>
      <c r="N97" s="4"/>
      <c r="O97" s="9">
        <f>SUM(C97)</f>
        <v>114.59</v>
      </c>
    </row>
    <row r="98" spans="1:15" x14ac:dyDescent="0.3">
      <c r="A98" s="7">
        <v>45936</v>
      </c>
      <c r="B98" s="28" t="s">
        <v>104</v>
      </c>
      <c r="C98" s="12">
        <v>210.89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210.89</v>
      </c>
    </row>
    <row r="99" spans="1:15" x14ac:dyDescent="0.3">
      <c r="A99" s="7">
        <v>45876</v>
      </c>
      <c r="B99" s="28" t="s">
        <v>105</v>
      </c>
      <c r="C99" s="12">
        <v>83.88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9">
        <f>SUM(C99)</f>
        <v>83.88</v>
      </c>
    </row>
    <row r="100" spans="1:15" x14ac:dyDescent="0.3">
      <c r="A100" s="7">
        <v>45908</v>
      </c>
      <c r="B100" s="28" t="s">
        <v>106</v>
      </c>
      <c r="C100" s="12">
        <v>29.73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SUM(C100)</f>
        <v>29.73</v>
      </c>
    </row>
    <row r="101" spans="1:15" x14ac:dyDescent="0.3">
      <c r="A101" s="7">
        <v>45878</v>
      </c>
      <c r="B101" s="28" t="s">
        <v>107</v>
      </c>
      <c r="C101" s="12">
        <v>78.55</v>
      </c>
      <c r="D101" s="12">
        <v>78.55</v>
      </c>
      <c r="E101" s="12">
        <v>78.55</v>
      </c>
      <c r="F101" s="4"/>
      <c r="G101" s="4"/>
      <c r="H101" s="4"/>
      <c r="I101" s="4"/>
      <c r="J101" s="4"/>
      <c r="K101" s="4"/>
      <c r="L101" s="4"/>
      <c r="M101" s="4"/>
      <c r="N101" s="4"/>
      <c r="O101" s="9">
        <f>SUM(C101:E101)</f>
        <v>235.64999999999998</v>
      </c>
    </row>
    <row r="102" spans="1:15" x14ac:dyDescent="0.3">
      <c r="A102" s="54" t="s">
        <v>148</v>
      </c>
      <c r="B102" s="56" t="s">
        <v>149</v>
      </c>
      <c r="C102" s="56">
        <v>111.2</v>
      </c>
      <c r="D102" s="56">
        <v>111.2</v>
      </c>
      <c r="E102" s="56">
        <v>111.2</v>
      </c>
      <c r="F102" s="4"/>
      <c r="G102" s="4"/>
      <c r="H102" s="4"/>
      <c r="I102" s="4"/>
      <c r="J102" s="4"/>
      <c r="K102" s="4"/>
      <c r="L102" s="4"/>
      <c r="M102" s="4"/>
      <c r="N102" s="4"/>
      <c r="O102" s="9"/>
    </row>
    <row r="103" spans="1:15" x14ac:dyDescent="0.3">
      <c r="A103" s="54" t="s">
        <v>137</v>
      </c>
      <c r="B103" s="56" t="s">
        <v>150</v>
      </c>
      <c r="C103" s="56">
        <v>203.32</v>
      </c>
      <c r="D103" s="56">
        <v>203.32</v>
      </c>
      <c r="E103" s="56">
        <v>203.32</v>
      </c>
      <c r="F103" s="4"/>
      <c r="G103" s="4"/>
      <c r="H103" s="4"/>
      <c r="I103" s="4"/>
      <c r="J103" s="4"/>
      <c r="K103" s="4"/>
      <c r="L103" s="4"/>
      <c r="M103" s="4"/>
      <c r="N103" s="4"/>
      <c r="O103" s="9"/>
    </row>
    <row r="104" spans="1:15" x14ac:dyDescent="0.3">
      <c r="A104" s="7">
        <v>45942</v>
      </c>
      <c r="B104" s="28" t="s">
        <v>29</v>
      </c>
      <c r="C104" s="12">
        <v>62.43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SUM(C104)</f>
        <v>62.43</v>
      </c>
    </row>
    <row r="105" spans="1:15" x14ac:dyDescent="0.3">
      <c r="A105" s="7">
        <v>45942</v>
      </c>
      <c r="B105" s="28" t="s">
        <v>108</v>
      </c>
      <c r="C105" s="12">
        <v>20.47</v>
      </c>
      <c r="D105" s="12">
        <v>20.47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9">
        <f>SUM(C105,D105)</f>
        <v>40.94</v>
      </c>
    </row>
    <row r="106" spans="1:15" x14ac:dyDescent="0.3">
      <c r="A106" s="54" t="s">
        <v>151</v>
      </c>
      <c r="B106" s="56" t="s">
        <v>152</v>
      </c>
      <c r="C106" s="56">
        <v>27.89</v>
      </c>
      <c r="D106" s="56">
        <v>27.89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9"/>
    </row>
    <row r="107" spans="1:15" x14ac:dyDescent="0.3">
      <c r="A107" s="7">
        <v>45858</v>
      </c>
      <c r="B107" s="28" t="s">
        <v>109</v>
      </c>
      <c r="C107" s="12">
        <v>52.74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SUM(C107)</f>
        <v>52.74</v>
      </c>
    </row>
    <row r="108" spans="1:15" x14ac:dyDescent="0.3">
      <c r="A108" s="7">
        <v>45923</v>
      </c>
      <c r="B108" s="28" t="s">
        <v>110</v>
      </c>
      <c r="C108" s="12">
        <v>290.99</v>
      </c>
      <c r="D108" s="12">
        <v>290.99</v>
      </c>
      <c r="E108" s="12">
        <v>290.99</v>
      </c>
      <c r="F108" s="12">
        <v>290.99</v>
      </c>
      <c r="G108" s="12">
        <v>290.99</v>
      </c>
      <c r="H108" s="4"/>
      <c r="I108" s="4"/>
      <c r="J108" s="4"/>
      <c r="K108" s="4"/>
      <c r="L108" s="4"/>
      <c r="M108" s="4"/>
      <c r="N108" s="4"/>
      <c r="O108" s="9">
        <f>SUM(C108:G108)</f>
        <v>1454.95</v>
      </c>
    </row>
    <row r="109" spans="1:15" x14ac:dyDescent="0.3">
      <c r="A109" s="7">
        <v>45984</v>
      </c>
      <c r="B109" s="28" t="s">
        <v>45</v>
      </c>
      <c r="C109" s="12">
        <v>52.25</v>
      </c>
      <c r="D109" s="12">
        <v>52.25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9">
        <f>SUM(C109,D109)</f>
        <v>104.5</v>
      </c>
    </row>
    <row r="111" spans="1:15" x14ac:dyDescent="0.3">
      <c r="A111" s="7">
        <v>45984</v>
      </c>
      <c r="B111" s="28" t="s">
        <v>112</v>
      </c>
      <c r="C111" s="12">
        <v>37.630000000000003</v>
      </c>
      <c r="D111" s="12">
        <v>37.64</v>
      </c>
      <c r="E111" s="12">
        <v>37.64</v>
      </c>
      <c r="F111" s="12">
        <v>37.64</v>
      </c>
      <c r="G111" s="4"/>
      <c r="H111" s="4"/>
      <c r="I111" s="4"/>
      <c r="J111" s="4"/>
      <c r="K111" s="4"/>
      <c r="L111" s="4"/>
      <c r="M111" s="4"/>
      <c r="N111" s="4"/>
      <c r="O111" s="9">
        <f>SUM(C111:F111)</f>
        <v>150.55000000000001</v>
      </c>
    </row>
    <row r="112" spans="1:15" x14ac:dyDescent="0.3">
      <c r="A112" s="7">
        <v>45984</v>
      </c>
      <c r="B112" s="28" t="s">
        <v>111</v>
      </c>
      <c r="C112" s="12">
        <v>75.260000000000005</v>
      </c>
      <c r="D112" s="12">
        <v>75.260000000000005</v>
      </c>
      <c r="E112" s="12">
        <v>75.260000000000005</v>
      </c>
      <c r="F112" s="12">
        <v>75.260000000000005</v>
      </c>
      <c r="G112" s="4"/>
      <c r="H112" s="4"/>
      <c r="I112" s="4"/>
      <c r="J112" s="4"/>
      <c r="K112" s="4"/>
      <c r="L112" s="4"/>
      <c r="M112" s="4"/>
      <c r="N112" s="4"/>
      <c r="O112" s="9">
        <f>SUM(C112:F112)</f>
        <v>301.04000000000002</v>
      </c>
    </row>
    <row r="113" spans="1:15" x14ac:dyDescent="0.3">
      <c r="A113" s="54" t="s">
        <v>153</v>
      </c>
      <c r="B113" s="56" t="s">
        <v>149</v>
      </c>
      <c r="C113" s="56">
        <v>83.06</v>
      </c>
      <c r="D113" s="56">
        <v>83.06</v>
      </c>
      <c r="E113" s="56">
        <v>83.06</v>
      </c>
      <c r="F113" s="4"/>
      <c r="G113" s="4"/>
      <c r="H113" s="4"/>
      <c r="I113" s="4"/>
      <c r="J113" s="4"/>
      <c r="K113" s="4"/>
      <c r="L113" s="4"/>
      <c r="M113" s="4"/>
      <c r="N113" s="4"/>
      <c r="O113" s="9"/>
    </row>
    <row r="114" spans="1:15" ht="14.4" customHeight="1" x14ac:dyDescent="0.3">
      <c r="A114" s="7">
        <v>45954</v>
      </c>
      <c r="B114" s="28" t="s">
        <v>113</v>
      </c>
      <c r="C114" s="12">
        <v>96.66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9">
        <f>SUM(C114)</f>
        <v>96.66</v>
      </c>
    </row>
    <row r="115" spans="1:15" x14ac:dyDescent="0.3">
      <c r="A115" s="54" t="s">
        <v>153</v>
      </c>
      <c r="B115" s="56" t="s">
        <v>154</v>
      </c>
      <c r="C115" s="56">
        <v>34.770000000000003</v>
      </c>
      <c r="D115" s="56">
        <v>34.770000000000003</v>
      </c>
      <c r="E115" s="56">
        <v>34.770000000000003</v>
      </c>
      <c r="F115" s="56">
        <v>34.770000000000003</v>
      </c>
      <c r="G115" s="56">
        <v>34.770000000000003</v>
      </c>
      <c r="H115" s="56">
        <v>34.770000000000003</v>
      </c>
      <c r="I115" s="56">
        <v>34.770000000000003</v>
      </c>
      <c r="J115" s="56">
        <v>34.770000000000003</v>
      </c>
      <c r="K115" s="56">
        <v>34.770000000000003</v>
      </c>
      <c r="L115" s="56">
        <v>34.770000000000003</v>
      </c>
      <c r="M115" s="4"/>
      <c r="N115" s="4"/>
      <c r="O115" s="9"/>
    </row>
    <row r="116" spans="1:15" x14ac:dyDescent="0.3">
      <c r="A116" s="7">
        <v>45954</v>
      </c>
      <c r="B116" s="28" t="s">
        <v>108</v>
      </c>
      <c r="C116" s="12">
        <v>40.32</v>
      </c>
      <c r="D116" s="12">
        <v>40.32</v>
      </c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9">
        <f>SUM(C116,D116)</f>
        <v>80.64</v>
      </c>
    </row>
    <row r="117" spans="1:15" x14ac:dyDescent="0.3">
      <c r="A117" s="7">
        <v>45954</v>
      </c>
      <c r="B117" s="28" t="s">
        <v>114</v>
      </c>
      <c r="C117" s="12">
        <v>99.73</v>
      </c>
      <c r="D117" s="12">
        <v>99.73</v>
      </c>
      <c r="E117" s="12">
        <v>99.73</v>
      </c>
      <c r="F117" s="12">
        <v>99.73</v>
      </c>
      <c r="G117" s="12">
        <v>99.73</v>
      </c>
      <c r="H117" s="12">
        <v>99.73</v>
      </c>
      <c r="I117" s="12">
        <v>99.73</v>
      </c>
      <c r="J117" s="12">
        <v>99.73</v>
      </c>
      <c r="K117" s="4"/>
      <c r="L117" s="4"/>
      <c r="M117" s="4"/>
      <c r="N117" s="4"/>
      <c r="O117" s="9">
        <f>SUM(C117:J117)</f>
        <v>797.84</v>
      </c>
    </row>
    <row r="118" spans="1:15" x14ac:dyDescent="0.3">
      <c r="A118" s="7">
        <v>45954</v>
      </c>
      <c r="B118" s="28" t="s">
        <v>115</v>
      </c>
      <c r="C118" s="12">
        <v>162.52000000000001</v>
      </c>
      <c r="D118" s="12">
        <v>162.52000000000001</v>
      </c>
      <c r="E118" s="12">
        <v>162.52000000000001</v>
      </c>
      <c r="F118" s="12">
        <v>162.52000000000001</v>
      </c>
      <c r="G118" s="12">
        <v>162.52000000000001</v>
      </c>
      <c r="H118" s="12">
        <v>162.52000000000001</v>
      </c>
      <c r="I118" s="12">
        <v>162.52000000000001</v>
      </c>
      <c r="J118" s="12">
        <v>162.52000000000001</v>
      </c>
      <c r="K118" s="4"/>
      <c r="L118" s="4"/>
      <c r="M118" s="4"/>
      <c r="N118" s="4"/>
      <c r="O118" s="9">
        <f>SUM(C118:J118)</f>
        <v>1300.1600000000001</v>
      </c>
    </row>
    <row r="119" spans="1:15" x14ac:dyDescent="0.3">
      <c r="A119" s="7">
        <v>45987</v>
      </c>
      <c r="B119" s="28" t="s">
        <v>45</v>
      </c>
      <c r="C119" s="12">
        <v>44.81</v>
      </c>
      <c r="D119" s="12">
        <v>44.81</v>
      </c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9">
        <f>SUM(C119:D119)</f>
        <v>89.62</v>
      </c>
    </row>
    <row r="120" spans="1:15" x14ac:dyDescent="0.3">
      <c r="A120" s="7">
        <v>45987</v>
      </c>
      <c r="B120" s="28" t="s">
        <v>46</v>
      </c>
      <c r="C120" s="12">
        <v>31.06</v>
      </c>
      <c r="D120" s="12">
        <v>31.06</v>
      </c>
      <c r="E120" s="12">
        <v>31.06</v>
      </c>
      <c r="F120" s="4"/>
      <c r="G120" s="4"/>
      <c r="H120" s="4"/>
      <c r="I120" s="4"/>
      <c r="J120" s="4"/>
      <c r="K120" s="4"/>
      <c r="L120" s="4"/>
      <c r="M120" s="4"/>
      <c r="N120" s="4"/>
      <c r="O120" s="9">
        <f>SUM(C120:E120)</f>
        <v>93.179999999999993</v>
      </c>
    </row>
    <row r="121" spans="1:15" x14ac:dyDescent="0.3">
      <c r="A121" s="7">
        <v>45988</v>
      </c>
      <c r="B121" s="28" t="s">
        <v>116</v>
      </c>
      <c r="C121" s="12">
        <v>55.71</v>
      </c>
      <c r="D121" s="12">
        <v>55.71</v>
      </c>
      <c r="E121" s="12">
        <v>55.71</v>
      </c>
      <c r="F121" s="12">
        <v>55.71</v>
      </c>
      <c r="G121" s="12">
        <v>55.71</v>
      </c>
      <c r="H121" s="12">
        <v>55.71</v>
      </c>
      <c r="I121" s="4"/>
      <c r="J121" s="4"/>
      <c r="K121" s="4"/>
      <c r="L121" s="4"/>
      <c r="M121" s="4"/>
      <c r="N121" s="4"/>
      <c r="O121" s="9">
        <f>SUM(C121:H121)</f>
        <v>334.26</v>
      </c>
    </row>
    <row r="122" spans="1:15" x14ac:dyDescent="0.3">
      <c r="A122" s="41" t="s">
        <v>86</v>
      </c>
      <c r="B122" s="42"/>
      <c r="C122" s="12">
        <f>SUM(C82:C121)</f>
        <v>3008.7800000000007</v>
      </c>
      <c r="D122" s="12">
        <f>SUM(D82:D120)</f>
        <v>2301.6699999999996</v>
      </c>
      <c r="E122" s="12">
        <f>SUM(E82:E120)</f>
        <v>1629.1299999999999</v>
      </c>
      <c r="F122" s="12">
        <f>SUM(F82:F120)</f>
        <v>989.41</v>
      </c>
      <c r="G122" s="12">
        <f>SUM(G82:G120)</f>
        <v>823.85</v>
      </c>
      <c r="H122" s="12">
        <f>SUM(H82:H120)</f>
        <v>411.61</v>
      </c>
      <c r="I122" s="4"/>
      <c r="J122" s="4"/>
      <c r="K122" s="4"/>
      <c r="L122" s="4"/>
      <c r="M122" s="4"/>
      <c r="N122" s="4"/>
      <c r="O122" s="12">
        <f>SUM(C122:H122)</f>
        <v>9164.4500000000007</v>
      </c>
    </row>
    <row r="123" spans="1:15" x14ac:dyDescent="0.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1:15" x14ac:dyDescent="0.3">
      <c r="A124" s="7">
        <v>46361</v>
      </c>
      <c r="B124" s="27" t="s">
        <v>119</v>
      </c>
      <c r="C124" s="9">
        <v>10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3">
      <c r="A125" s="7">
        <v>46365</v>
      </c>
      <c r="B125" s="27" t="s">
        <v>122</v>
      </c>
      <c r="C125" s="9">
        <v>435.16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3">
      <c r="A126" s="11" t="s">
        <v>67</v>
      </c>
      <c r="B126" s="11" t="s">
        <v>77</v>
      </c>
      <c r="C126" s="12">
        <v>90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3">
      <c r="A127" s="11" t="s">
        <v>123</v>
      </c>
      <c r="B127" s="11" t="s">
        <v>124</v>
      </c>
      <c r="C127" s="12">
        <v>44.9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6"/>
    </row>
    <row r="128" spans="1:15" x14ac:dyDescent="0.3">
      <c r="A128" s="11" t="s">
        <v>125</v>
      </c>
      <c r="B128" s="11" t="s">
        <v>126</v>
      </c>
      <c r="C128" s="12">
        <v>64.760000000000005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6"/>
    </row>
    <row r="129" spans="1:15" x14ac:dyDescent="0.3">
      <c r="A129" s="11" t="s">
        <v>127</v>
      </c>
      <c r="B129" s="11" t="s">
        <v>128</v>
      </c>
      <c r="C129" s="12">
        <v>29.99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6"/>
    </row>
    <row r="130" spans="1:15" x14ac:dyDescent="0.3">
      <c r="A130" s="11" t="s">
        <v>129</v>
      </c>
      <c r="B130" s="11" t="s">
        <v>85</v>
      </c>
      <c r="C130" s="12">
        <v>31.9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6"/>
    </row>
    <row r="131" spans="1:15" x14ac:dyDescent="0.3">
      <c r="A131" s="11" t="s">
        <v>129</v>
      </c>
      <c r="B131" s="11" t="s">
        <v>126</v>
      </c>
      <c r="C131" s="12">
        <v>16.989999999999998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6"/>
    </row>
    <row r="132" spans="1:15" x14ac:dyDescent="0.3">
      <c r="A132" s="11" t="s">
        <v>127</v>
      </c>
      <c r="B132" s="11" t="s">
        <v>84</v>
      </c>
      <c r="C132" s="12">
        <v>1.99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6"/>
    </row>
    <row r="133" spans="1:15" x14ac:dyDescent="0.3">
      <c r="A133" s="11" t="s">
        <v>130</v>
      </c>
      <c r="B133" s="11" t="s">
        <v>84</v>
      </c>
      <c r="C133" s="12">
        <v>16.899999999999999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6"/>
    </row>
    <row r="134" spans="1:15" x14ac:dyDescent="0.3">
      <c r="A134" s="11" t="s">
        <v>127</v>
      </c>
      <c r="B134" s="11" t="s">
        <v>131</v>
      </c>
      <c r="C134" s="12">
        <v>66.45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6"/>
    </row>
    <row r="135" spans="1:15" x14ac:dyDescent="0.3">
      <c r="A135" s="11" t="s">
        <v>125</v>
      </c>
      <c r="B135" s="11" t="s">
        <v>131</v>
      </c>
      <c r="C135" s="12">
        <v>94.37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6"/>
    </row>
    <row r="136" spans="1:15" x14ac:dyDescent="0.3">
      <c r="A136" s="11" t="s">
        <v>132</v>
      </c>
      <c r="B136" s="11" t="s">
        <v>91</v>
      </c>
      <c r="C136" s="12">
        <v>118.7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6"/>
    </row>
    <row r="137" spans="1:15" x14ac:dyDescent="0.3">
      <c r="A137" s="11" t="s">
        <v>133</v>
      </c>
      <c r="B137" s="11" t="s">
        <v>134</v>
      </c>
      <c r="C137" s="12">
        <v>50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6"/>
    </row>
    <row r="138" spans="1:15" x14ac:dyDescent="0.3">
      <c r="A138" s="11" t="s">
        <v>135</v>
      </c>
      <c r="B138" s="11" t="s">
        <v>134</v>
      </c>
      <c r="C138" s="12">
        <v>50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6"/>
    </row>
    <row r="139" spans="1:15" x14ac:dyDescent="0.3">
      <c r="A139" s="11" t="s">
        <v>121</v>
      </c>
      <c r="B139" s="11" t="s">
        <v>136</v>
      </c>
      <c r="C139" s="12">
        <v>20.49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6"/>
    </row>
    <row r="140" spans="1:15" x14ac:dyDescent="0.3">
      <c r="A140" s="11" t="s">
        <v>121</v>
      </c>
      <c r="B140" s="11" t="s">
        <v>136</v>
      </c>
      <c r="C140" s="12">
        <v>14.18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6"/>
    </row>
    <row r="141" spans="1:15" x14ac:dyDescent="0.3">
      <c r="A141" s="11" t="s">
        <v>137</v>
      </c>
      <c r="B141" s="11" t="s">
        <v>136</v>
      </c>
      <c r="C141" s="12">
        <v>35.31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6"/>
    </row>
    <row r="142" spans="1:15" x14ac:dyDescent="0.3">
      <c r="A142" s="11" t="s">
        <v>137</v>
      </c>
      <c r="B142" s="11" t="s">
        <v>136</v>
      </c>
      <c r="C142" s="12">
        <v>20.07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6"/>
    </row>
    <row r="143" spans="1:15" x14ac:dyDescent="0.3">
      <c r="A143" s="11" t="s">
        <v>127</v>
      </c>
      <c r="B143" s="11" t="s">
        <v>136</v>
      </c>
      <c r="C143" s="12">
        <v>16.809999999999999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6"/>
    </row>
    <row r="144" spans="1:15" x14ac:dyDescent="0.3">
      <c r="A144" s="11" t="s">
        <v>127</v>
      </c>
      <c r="B144" s="11" t="s">
        <v>136</v>
      </c>
      <c r="C144" s="12">
        <v>20.68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6"/>
    </row>
    <row r="145" spans="1:15" x14ac:dyDescent="0.3">
      <c r="A145" s="11" t="s">
        <v>130</v>
      </c>
      <c r="B145" s="11" t="s">
        <v>136</v>
      </c>
      <c r="C145" s="12">
        <v>19.73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6"/>
    </row>
    <row r="146" spans="1:15" x14ac:dyDescent="0.3">
      <c r="A146" s="11" t="s">
        <v>129</v>
      </c>
      <c r="B146" s="11" t="s">
        <v>136</v>
      </c>
      <c r="C146" s="12">
        <v>14.22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6"/>
    </row>
    <row r="147" spans="1:15" x14ac:dyDescent="0.3">
      <c r="A147" s="11" t="s">
        <v>123</v>
      </c>
      <c r="B147" s="11" t="s">
        <v>138</v>
      </c>
      <c r="C147" s="12">
        <v>44.9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6"/>
    </row>
    <row r="148" spans="1:15" x14ac:dyDescent="0.3">
      <c r="A148" s="11" t="s">
        <v>133</v>
      </c>
      <c r="B148" s="11" t="s">
        <v>92</v>
      </c>
      <c r="C148" s="12">
        <v>10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6"/>
    </row>
    <row r="149" spans="1:15" x14ac:dyDescent="0.3">
      <c r="A149" s="11" t="s">
        <v>139</v>
      </c>
      <c r="B149" s="11" t="s">
        <v>140</v>
      </c>
      <c r="C149" s="12">
        <v>27.9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6"/>
    </row>
    <row r="150" spans="1:15" x14ac:dyDescent="0.3">
      <c r="A150" s="11" t="s">
        <v>139</v>
      </c>
      <c r="B150" s="11" t="s">
        <v>141</v>
      </c>
      <c r="C150" s="12">
        <v>6.9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6"/>
    </row>
    <row r="151" spans="1:15" x14ac:dyDescent="0.3">
      <c r="A151" s="43" t="s">
        <v>87</v>
      </c>
      <c r="B151" s="44"/>
      <c r="C151" s="50">
        <f>SUM(C124:C150)</f>
        <v>1373.3000000000004</v>
      </c>
      <c r="D151" s="23"/>
      <c r="E151" s="23"/>
      <c r="F151" s="23"/>
      <c r="G151" s="23"/>
      <c r="H151" s="23"/>
      <c r="I151" s="23"/>
      <c r="J151" s="23"/>
      <c r="K151" s="23"/>
      <c r="L151" s="23"/>
      <c r="M151" s="24"/>
      <c r="N151" s="38">
        <f>SUM(N105:N124)</f>
        <v>0</v>
      </c>
      <c r="O151" s="12">
        <f>SUM(N151)</f>
        <v>0</v>
      </c>
    </row>
    <row r="152" spans="1:15" x14ac:dyDescent="0.3">
      <c r="A152" s="43" t="s">
        <v>88</v>
      </c>
      <c r="B152" s="44"/>
      <c r="C152" s="45">
        <f>SUM(C151,C122)</f>
        <v>4382.0800000000008</v>
      </c>
      <c r="D152" s="23"/>
      <c r="E152" s="23"/>
      <c r="F152" s="23"/>
      <c r="G152" s="23"/>
      <c r="H152" s="23"/>
      <c r="I152" s="23"/>
      <c r="J152" s="23"/>
      <c r="K152" s="23"/>
      <c r="L152" s="23"/>
      <c r="M152" s="24"/>
      <c r="N152" s="12">
        <f>SUM(N101,N151)</f>
        <v>0</v>
      </c>
      <c r="O152" s="25">
        <f>SUM(N152)</f>
        <v>0</v>
      </c>
    </row>
    <row r="153" spans="1:15" x14ac:dyDescent="0.3">
      <c r="A153" s="46" t="s">
        <v>117</v>
      </c>
      <c r="B153" s="49"/>
      <c r="D153" s="25">
        <v>2239.48</v>
      </c>
      <c r="E153" s="12">
        <v>1596.54</v>
      </c>
      <c r="F153" s="12">
        <v>1010.3</v>
      </c>
      <c r="G153" s="12">
        <v>844.75</v>
      </c>
      <c r="H153" s="12">
        <v>432.51</v>
      </c>
      <c r="I153" s="12">
        <v>262.25</v>
      </c>
      <c r="J153" s="12">
        <v>262.25</v>
      </c>
      <c r="K153" s="4"/>
      <c r="L153" s="4"/>
      <c r="M153" s="4"/>
      <c r="N153" s="4"/>
      <c r="O153" s="40">
        <f>SUM(C153:N153)</f>
        <v>6648.08</v>
      </c>
    </row>
    <row r="155" spans="1:15" x14ac:dyDescent="0.3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1:15" x14ac:dyDescent="0.3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1:15" x14ac:dyDescent="0.3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1:15" x14ac:dyDescent="0.3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</sheetData>
  <mergeCells count="7">
    <mergeCell ref="A151:B151"/>
    <mergeCell ref="A152:B152"/>
    <mergeCell ref="A153:B153"/>
    <mergeCell ref="A122:B122"/>
    <mergeCell ref="A56:B56"/>
    <mergeCell ref="A77:B77"/>
    <mergeCell ref="A78:B78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O7" formula="1"/>
    <ignoredError sqref="O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 Mendes</cp:lastModifiedBy>
  <dcterms:created xsi:type="dcterms:W3CDTF">2025-11-29T17:52:06Z</dcterms:created>
  <dcterms:modified xsi:type="dcterms:W3CDTF">2026-01-01T19:03:28Z</dcterms:modified>
</cp:coreProperties>
</file>