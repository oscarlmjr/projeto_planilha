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senvolvimento\projeto_planilha\"/>
    </mc:Choice>
  </mc:AlternateContent>
  <bookViews>
    <workbookView xWindow="0" yWindow="0" windowWidth="20496" windowHeight="7536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0" i="2" l="1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154" i="2"/>
  <c r="C154" i="2"/>
  <c r="C125" i="2"/>
  <c r="C155" i="2"/>
  <c r="D154" i="2"/>
  <c r="D125" i="2"/>
  <c r="D155" i="2"/>
  <c r="E154" i="2"/>
  <c r="E125" i="2"/>
  <c r="E155" i="2"/>
  <c r="F154" i="2"/>
  <c r="F125" i="2"/>
  <c r="F155" i="2"/>
  <c r="G154" i="2"/>
  <c r="G125" i="2"/>
  <c r="G155" i="2"/>
  <c r="H154" i="2"/>
  <c r="H125" i="2"/>
  <c r="H155" i="2"/>
  <c r="I154" i="2"/>
  <c r="I125" i="2"/>
  <c r="I155" i="2"/>
  <c r="J154" i="2"/>
  <c r="J125" i="2"/>
  <c r="J155" i="2"/>
  <c r="K154" i="2"/>
  <c r="K125" i="2"/>
  <c r="K155" i="2"/>
  <c r="L154" i="2"/>
  <c r="L125" i="2"/>
  <c r="L155" i="2"/>
  <c r="M154" i="2"/>
  <c r="M125" i="2"/>
  <c r="M155" i="2"/>
  <c r="N154" i="2"/>
  <c r="N125" i="2"/>
  <c r="N155" i="2"/>
  <c r="O155" i="2"/>
  <c r="O118" i="2"/>
  <c r="O116" i="2"/>
  <c r="O110" i="2"/>
  <c r="O106" i="2"/>
  <c r="O107" i="2"/>
  <c r="O92" i="2"/>
  <c r="O88" i="2"/>
  <c r="O89" i="2"/>
  <c r="O90" i="2"/>
  <c r="O156" i="2"/>
  <c r="O125" i="2"/>
  <c r="O101" i="2"/>
  <c r="N79" i="2"/>
  <c r="N58" i="2"/>
  <c r="N80" i="2"/>
  <c r="O58" i="2"/>
  <c r="O46" i="2"/>
  <c r="O45" i="2"/>
  <c r="O39" i="2"/>
  <c r="O38" i="2"/>
  <c r="O37" i="2"/>
  <c r="O36" i="2"/>
  <c r="O35" i="2"/>
  <c r="O33" i="2"/>
  <c r="O32" i="2"/>
  <c r="O23" i="2"/>
  <c r="O22" i="2"/>
  <c r="O19" i="2"/>
  <c r="O87" i="2"/>
  <c r="O91" i="2"/>
  <c r="O95" i="2"/>
  <c r="O93" i="2"/>
  <c r="O94" i="2"/>
  <c r="O96" i="2"/>
  <c r="O80" i="2"/>
  <c r="O97" i="2"/>
  <c r="O124" i="2"/>
  <c r="O123" i="2"/>
  <c r="O122" i="2"/>
  <c r="O121" i="2"/>
  <c r="O120" i="2"/>
  <c r="O119" i="2"/>
  <c r="O117" i="2"/>
  <c r="O114" i="2"/>
  <c r="O115" i="2"/>
  <c r="O113" i="2"/>
  <c r="O112" i="2"/>
  <c r="O111" i="2"/>
  <c r="O109" i="2"/>
  <c r="O108" i="2"/>
  <c r="O105" i="2"/>
  <c r="O104" i="2"/>
  <c r="O103" i="2"/>
  <c r="O102" i="2"/>
  <c r="O100" i="2"/>
  <c r="O99" i="2"/>
  <c r="O98" i="2"/>
  <c r="O14" i="2"/>
  <c r="O13" i="2"/>
  <c r="O12" i="2"/>
  <c r="O11" i="2"/>
  <c r="O10" i="2"/>
  <c r="O9" i="2"/>
  <c r="O8" i="2"/>
  <c r="O7" i="2"/>
</calcChain>
</file>

<file path=xl/sharedStrings.xml><?xml version="1.0" encoding="utf-8"?>
<sst xmlns="http://schemas.openxmlformats.org/spreadsheetml/2006/main" count="241" uniqueCount="158">
  <si>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</si>
  <si>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</si>
  <si>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</si>
  <si>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</si>
  <si>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</si>
  <si>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</si>
  <si>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</si>
  <si>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</si>
  <si>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</si>
  <si>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</si>
  <si>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</si>
  <si>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</si>
  <si>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</si>
  <si>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</si>
  <si>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</si>
  <si>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</si>
  <si>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</si>
  <si>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</si>
  <si>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</si>
  <si>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</si>
  <si>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</si>
  <si>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</si>
  <si>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</si>
  <si>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</si>
  <si>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</si>
  <si>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</si>
  <si>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</si>
  <si>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</si>
  <si>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</si>
  <si>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</si>
  <si>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</si>
  <si>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</si>
  <si>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</si>
  <si>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</si>
  <si>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</si>
  <si>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</si>
  <si>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</si>
  <si>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</si>
  <si>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</si>
  <si>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</si>
  <si>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</si>
  <si>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</si>
  <si>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</si>
  <si>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</si>
  <si>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</si>
  <si>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</si>
  <si>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</si>
  <si>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</si>
  <si>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</si>
  <si>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</si>
  <si>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</si>
  <si>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</si>
  <si>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</si>
  <si>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</si>
  <si>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</si>
  <si>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</si>
  <si>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</si>
  <si>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</si>
  <si>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</si>
  <si>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</si>
  <si>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</si>
  <si>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</si>
  <si>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</si>
  <si>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</si>
  <si>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</si>
  <si>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</si>
  <si>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</si>
  <si>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</si>
  <si>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</si>
  <si>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</si>
  <si>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</si>
  <si>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</si>
  <si>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</si>
  <si>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</si>
  <si>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</si>
  <si>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</si>
  <si>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</si>
  <si>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</si>
  <si>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</si>
  <si>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</si>
  <si>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</si>
  <si>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</si>
  <si>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</si>
  <si>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</si>
  <si>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</si>
  <si>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</si>
  <si>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</si>
  <si>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</si>
  <si>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</si>
  <si>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</si>
  <si>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</si>
  <si>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</si>
  <si>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</si>
  <si>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</si>
  <si>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</si>
  <si>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</si>
  <si>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</si>
  <si>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</si>
  <si>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</si>
  <si>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</si>
  <si>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</si>
  <si>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</si>
  <si>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</si>
  <si>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</si>
  <si>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</si>
  <si>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</si>
  <si>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</si>
  <si>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</si>
  <si>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</si>
  <si>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</si>
  <si>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</si>
  <si>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</si>
  <si>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</si>
  <si>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</si>
  <si>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</si>
  <si>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</si>
  <si>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</si>
  <si>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</si>
  <si>
    <t>ESTORNO ANUIDADE BR</t>
  </si>
  <si>
    <t>Jose Ronierio Marinho Osasco BR</t>
  </si>
  <si>
    <t>Compra / Vencimento 10/01</t>
  </si>
  <si>
    <t>09/12</t>
  </si>
  <si>
    <t>REST ENTRE AMIGOS RECIFE BR</t>
  </si>
  <si>
    <t>02/12</t>
  </si>
  <si>
    <t>NETFLIX.COM SAO PAULO BR</t>
  </si>
  <si>
    <t>18/12</t>
  </si>
  <si>
    <t>AMAZON BR SAO PAULO BR</t>
  </si>
  <si>
    <t>19/12</t>
  </si>
  <si>
    <t>AMAZONMKTPLC*PUCCIIMPO SAO PAULO BR</t>
  </si>
  <si>
    <t>21/12</t>
  </si>
  <si>
    <t>20/12</t>
  </si>
  <si>
    <t>IFD*SUPERMERCADO GAIVO RECIFE BR</t>
  </si>
  <si>
    <t>22/12</t>
  </si>
  <si>
    <t>03/12</t>
  </si>
  <si>
    <t>UBER CASH SAO PAULO BR</t>
  </si>
  <si>
    <t>04/12</t>
  </si>
  <si>
    <t>UBER * PENDING SAO PAULO BR</t>
  </si>
  <si>
    <t>11/12</t>
  </si>
  <si>
    <t>DL *GOOGLE HBO Max Str SAO PAULO BR</t>
  </si>
  <si>
    <t>07/12</t>
  </si>
  <si>
    <t>DL*GOOGLE Paramo SAO PAULO BR</t>
  </si>
  <si>
    <t>Amazon Prime Aluguel SAO PAULO BR</t>
  </si>
  <si>
    <t>27/09</t>
  </si>
  <si>
    <t>28/10</t>
  </si>
  <si>
    <t>MLP*Magalu Sa PARC 02/04 BRAGANCA PAUBR</t>
  </si>
  <si>
    <t>29/11</t>
  </si>
  <si>
    <t>MERCADOLIVRE* PARC 01/03 FRANCA BR</t>
  </si>
  <si>
    <t>06/12</t>
  </si>
  <si>
    <t>10/12</t>
  </si>
  <si>
    <t>SUPERMERCADO PARC 01/03 RECIFE BR</t>
  </si>
  <si>
    <t>RIACHUELO-FIL PARC 01/03 RECIFE BR</t>
  </si>
  <si>
    <t>12/12</t>
  </si>
  <si>
    <t>ATACADO DOS P PARC 01/02 RECIFE BR</t>
  </si>
  <si>
    <t>23/12</t>
  </si>
  <si>
    <t>HNA PARC 01/10 RECIFE BR</t>
  </si>
  <si>
    <t>SALDO FATURA ANTERIOR</t>
  </si>
  <si>
    <t>PGTO DEBITO CONTA 0697 000000004 20021</t>
  </si>
  <si>
    <t>PGTO DEBITO CONTA 0697 000006055 200211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</si>
</sst>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9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  <font>
      <sz val="10"/>
      <color theme="4" tint="-0.49998474074526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5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3">
    <xf numFmtId="0" fontId="0" fillId="0" borderId="0" xfId="0"/>
    <xf numFmtId="165" fontId="1" fillId="0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4" fontId="8" fillId="12" borderId="1" xfId="0" applyNumberFormat="1" applyFont="1" applyFill="1" applyBorder="1" applyAlignment="1">
      <alignment horizontal="center" vertical="center"/>
    </xf>
    <xf numFmtId="165" fontId="8" fillId="13" borderId="1" xfId="0" applyNumberFormat="1" applyFont="1" applyFill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8" fontId="5" fillId="0" borderId="1" xfId="0" applyNumberFormat="1" applyFont="1" applyFill="1" applyBorder="1" applyAlignment="1">
      <alignment horizontal="center"/>
    </xf>
    <xf numFmtId="0" fontId="7" fillId="9" borderId="4" xfId="0" applyFont="1" applyFill="1" applyBorder="1"/>
    <xf numFmtId="0" fontId="7" fillId="9" borderId="5" xfId="0" applyFont="1" applyFill="1" applyBorder="1"/>
    <xf numFmtId="0" fontId="7" fillId="9" borderId="2" xfId="0" applyFont="1" applyFill="1" applyBorder="1"/>
    <xf numFmtId="165" fontId="6" fillId="0" borderId="1" xfId="1" applyNumberFormat="1" applyFont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/>
    <xf numFmtId="165" fontId="6" fillId="4" borderId="1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65" fontId="1" fillId="0" borderId="5" xfId="0" applyNumberFormat="1" applyFont="1" applyFill="1" applyBorder="1" applyAlignment="1">
      <alignment horizontal="center" vertical="center"/>
    </xf>
    <xf numFmtId="165" fontId="6" fillId="0" borderId="3" xfId="0" applyNumberFormat="1" applyFont="1" applyFill="1" applyBorder="1" applyAlignment="1">
      <alignment horizontal="center" vertical="center"/>
    </xf>
    <xf numFmtId="165" fontId="5" fillId="0" borderId="3" xfId="0" applyNumberFormat="1" applyFont="1" applyFill="1" applyBorder="1" applyAlignment="1">
      <alignment horizontal="center" vertical="center"/>
    </xf>
    <xf numFmtId="165" fontId="3" fillId="7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" fontId="4" fillId="5" borderId="4" xfId="0" applyNumberFormat="1" applyFont="1" applyFill="1" applyBorder="1" applyAlignment="1">
      <alignment horizontal="center" vertical="center"/>
    </xf>
    <xf numFmtId="165" fontId="4" fillId="5" borderId="5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165" fontId="4" fillId="5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Q161"/>
  <sheetViews>
    <sheetView tabSelected="1" topLeftCell="A133" zoomScaleNormal="100" workbookViewId="0">
      <selection activeCell="A87" sqref="A87:C94"/>
    </sheetView>
  </sheetViews>
  <sheetFormatPr defaultRowHeight="14.4" x14ac:dyDescent="0.3"/>
  <cols>
    <col min="1" max="1" width="7.33203125" bestFit="1" customWidth="1"/>
    <col min="2" max="2" width="49.33203125" customWidth="1"/>
    <col min="3" max="6" width="11" bestFit="1" customWidth="1"/>
    <col min="7" max="10" width="9.44140625" bestFit="1" customWidth="1"/>
    <col min="11" max="11" width="10.109375" bestFit="1" customWidth="1"/>
    <col min="12" max="12" width="9.44140625" bestFit="1" customWidth="1"/>
    <col min="13" max="13" width="10.5546875" bestFit="1" customWidth="1"/>
    <col min="14" max="15" width="12.33203125" bestFit="1" customWidth="1"/>
  </cols>
  <sheetData>
    <row r="1" spans="1:15" x14ac:dyDescent="0.3">
      <c r="A1" s="47">
        <v>2025</v>
      </c>
      <c r="B1" s="23" t="s">
        <v>25</v>
      </c>
      <c r="C1" s="23" t="s">
        <v>9</v>
      </c>
      <c r="D1" s="23" t="s">
        <v>10</v>
      </c>
      <c r="E1" s="23" t="s">
        <v>11</v>
      </c>
      <c r="F1" s="23" t="s">
        <v>12</v>
      </c>
      <c r="G1" s="23" t="s">
        <v>13</v>
      </c>
      <c r="H1" s="23" t="s">
        <v>14</v>
      </c>
      <c r="I1" s="23" t="s">
        <v>15</v>
      </c>
      <c r="J1" s="23" t="s">
        <v>16</v>
      </c>
      <c r="K1" s="23" t="s">
        <v>17</v>
      </c>
      <c r="L1" s="23" t="s">
        <v>18</v>
      </c>
      <c r="M1" s="23" t="s">
        <v>19</v>
      </c>
      <c r="N1" s="23" t="s">
        <v>20</v>
      </c>
      <c r="O1" s="34" t="s">
        <v>21</v>
      </c>
    </row>
    <row r="2" spans="1:15" x14ac:dyDescent="0.3">
      <c r="A2" s="47"/>
      <c r="B2" s="23" t="s">
        <v>155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48">
        <v>3738.44</v>
      </c>
      <c r="O2" s="34"/>
    </row>
    <row r="3" spans="1:15" x14ac:dyDescent="0.3">
      <c r="A3" s="22">
        <v>45971</v>
      </c>
      <c r="B3" s="23" t="s">
        <v>156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48">
        <v>-3738.44</v>
      </c>
      <c r="O3" s="34"/>
    </row>
    <row r="4" spans="1:15" x14ac:dyDescent="0.3">
      <c r="A4" s="22">
        <v>45971</v>
      </c>
      <c r="B4" s="23" t="s">
        <v>63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48">
        <v>-3647.89</v>
      </c>
      <c r="O4" s="34"/>
    </row>
    <row r="5" spans="1:15" x14ac:dyDescent="0.3">
      <c r="A5" s="22">
        <v>45972</v>
      </c>
      <c r="B5" s="23" t="s">
        <v>64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48">
        <v>-3618.79</v>
      </c>
      <c r="O5" s="34"/>
    </row>
    <row r="6" spans="1:15" x14ac:dyDescent="0.3">
      <c r="A6" s="22">
        <v>45980</v>
      </c>
      <c r="B6" s="23" t="s">
        <v>65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48">
        <v>-379.7</v>
      </c>
      <c r="O6" s="34"/>
    </row>
    <row r="7" spans="1:15" x14ac:dyDescent="0.3">
      <c r="A7" s="12">
        <v>45834</v>
      </c>
      <c r="B7" s="13" t="s">
        <v>22</v>
      </c>
      <c r="C7" s="14"/>
      <c r="D7" s="14"/>
      <c r="E7" s="14"/>
      <c r="F7" s="14"/>
      <c r="G7" s="14"/>
      <c r="H7" s="14"/>
      <c r="I7" s="14"/>
      <c r="J7" s="15">
        <v>54.5</v>
      </c>
      <c r="K7" s="15">
        <v>54.5</v>
      </c>
      <c r="L7" s="15">
        <v>54.5</v>
      </c>
      <c r="M7" s="15">
        <v>54.5</v>
      </c>
      <c r="N7" s="49">
        <v>54.5</v>
      </c>
      <c r="O7" s="49">
        <f>SUM(I7:N7)</f>
        <v>272.5</v>
      </c>
    </row>
    <row r="8" spans="1:15" x14ac:dyDescent="0.3">
      <c r="A8" s="5">
        <v>45959</v>
      </c>
      <c r="B8" s="6" t="s">
        <v>23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1">
        <v>22.86</v>
      </c>
      <c r="O8" s="41">
        <f>SUM(L8:N8)</f>
        <v>22.86</v>
      </c>
    </row>
    <row r="9" spans="1:15" x14ac:dyDescent="0.3">
      <c r="A9" s="5">
        <v>45930</v>
      </c>
      <c r="B9" s="6" t="s">
        <v>24</v>
      </c>
      <c r="C9" s="2"/>
      <c r="D9" s="2"/>
      <c r="E9" s="2"/>
      <c r="F9" s="2"/>
      <c r="G9" s="2"/>
      <c r="H9" s="2"/>
      <c r="I9" s="2"/>
      <c r="J9" s="2"/>
      <c r="K9" s="2"/>
      <c r="L9" s="2"/>
      <c r="M9" s="1">
        <v>32.93</v>
      </c>
      <c r="N9" s="11">
        <v>32.93</v>
      </c>
      <c r="O9" s="10">
        <f>SUM(K9:N9)</f>
        <v>65.86</v>
      </c>
    </row>
    <row r="10" spans="1:15" x14ac:dyDescent="0.3">
      <c r="A10" s="5" t="s">
        <v>0</v>
      </c>
      <c r="B10" s="8" t="s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1">
        <v>52.81</v>
      </c>
      <c r="O10" s="10">
        <f>SUM(L10:N10)</f>
        <v>52.81</v>
      </c>
    </row>
    <row r="11" spans="1:15" x14ac:dyDescent="0.3">
      <c r="A11" s="5" t="s">
        <v>0</v>
      </c>
      <c r="B11" s="8" t="s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11">
        <v>29.8</v>
      </c>
      <c r="O11" s="10">
        <f>SUM(L11:N11)</f>
        <v>29.8</v>
      </c>
    </row>
    <row r="12" spans="1:15" x14ac:dyDescent="0.3">
      <c r="A12" s="5" t="s">
        <v>3</v>
      </c>
      <c r="B12" s="8" t="s">
        <v>4</v>
      </c>
      <c r="C12" s="2"/>
      <c r="D12" s="2"/>
      <c r="E12" s="2"/>
      <c r="F12" s="2"/>
      <c r="G12" s="2"/>
      <c r="H12" s="2"/>
      <c r="I12" s="2"/>
      <c r="J12" s="2"/>
      <c r="K12" s="2"/>
      <c r="L12" s="1">
        <v>58.1</v>
      </c>
      <c r="M12" s="1">
        <v>58.1</v>
      </c>
      <c r="N12" s="11">
        <v>58.1</v>
      </c>
      <c r="O12" s="10">
        <f>SUM(L12:N12)</f>
        <v>174.3</v>
      </c>
    </row>
    <row r="13" spans="1:15" x14ac:dyDescent="0.3">
      <c r="A13" s="5" t="s">
        <v>5</v>
      </c>
      <c r="B13" s="8" t="s">
        <v>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1">
        <v>84</v>
      </c>
      <c r="N13" s="11">
        <v>84</v>
      </c>
      <c r="O13" s="10">
        <f>SUM(M13,N13)</f>
        <v>168</v>
      </c>
    </row>
    <row r="14" spans="1:15" x14ac:dyDescent="0.3">
      <c r="A14" s="8" t="s">
        <v>7</v>
      </c>
      <c r="B14" s="8" t="s">
        <v>8</v>
      </c>
      <c r="C14" s="2"/>
      <c r="D14" s="2"/>
      <c r="E14" s="2"/>
      <c r="F14" s="2"/>
      <c r="G14" s="11">
        <v>183.99</v>
      </c>
      <c r="H14" s="11">
        <v>183.99</v>
      </c>
      <c r="I14" s="11">
        <v>183.99</v>
      </c>
      <c r="J14" s="11">
        <v>183.99</v>
      </c>
      <c r="K14" s="11">
        <v>183.99</v>
      </c>
      <c r="L14" s="11">
        <v>183.99</v>
      </c>
      <c r="M14" s="11">
        <v>183.99</v>
      </c>
      <c r="N14" s="11">
        <v>183.99</v>
      </c>
      <c r="O14" s="11">
        <f>SUM(F14:M14)</f>
        <v>1287.93</v>
      </c>
    </row>
    <row r="15" spans="1:15" x14ac:dyDescent="0.3">
      <c r="A15" s="5">
        <v>45964</v>
      </c>
      <c r="B15" s="8" t="s">
        <v>26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0">
        <v>63.3</v>
      </c>
      <c r="O15" s="42"/>
    </row>
    <row r="16" spans="1:15" x14ac:dyDescent="0.3">
      <c r="A16" s="5">
        <v>45965</v>
      </c>
      <c r="B16" s="8" t="s">
        <v>27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0">
        <v>75.040000000000006</v>
      </c>
      <c r="O16" s="10">
        <v>75.040000000000006</v>
      </c>
    </row>
    <row r="17" spans="1:15" x14ac:dyDescent="0.3">
      <c r="A17" s="5">
        <v>45965</v>
      </c>
      <c r="B17" s="8" t="s">
        <v>28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0">
        <v>121.26</v>
      </c>
      <c r="O17" s="10">
        <v>121.26</v>
      </c>
    </row>
    <row r="18" spans="1:15" x14ac:dyDescent="0.3">
      <c r="A18" s="5">
        <v>45905</v>
      </c>
      <c r="B18" s="8" t="s">
        <v>29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10">
        <v>55.74</v>
      </c>
      <c r="O18" s="10">
        <v>55.74</v>
      </c>
    </row>
    <row r="19" spans="1:15" x14ac:dyDescent="0.3">
      <c r="A19" s="5">
        <v>45905</v>
      </c>
      <c r="B19" s="8" t="s">
        <v>30</v>
      </c>
      <c r="C19" s="2"/>
      <c r="D19" s="2"/>
      <c r="E19" s="2"/>
      <c r="F19" s="2"/>
      <c r="G19" s="2"/>
      <c r="H19" s="2"/>
      <c r="I19" s="2"/>
      <c r="J19" s="2"/>
      <c r="K19" s="2"/>
      <c r="L19" s="10">
        <v>71.989999999999995</v>
      </c>
      <c r="M19" s="10">
        <v>71.989999999999995</v>
      </c>
      <c r="N19" s="10">
        <v>71.989999999999995</v>
      </c>
      <c r="O19" s="10">
        <f>SUM(L19,M19,N19)</f>
        <v>215.96999999999997</v>
      </c>
    </row>
    <row r="20" spans="1:15" x14ac:dyDescent="0.3">
      <c r="A20" s="5">
        <v>45966</v>
      </c>
      <c r="B20" s="8" t="s">
        <v>31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0">
        <v>729.61</v>
      </c>
      <c r="O20" s="10">
        <v>729.61</v>
      </c>
    </row>
    <row r="21" spans="1:15" x14ac:dyDescent="0.3">
      <c r="A21" s="5">
        <v>45966</v>
      </c>
      <c r="B21" s="8" t="s">
        <v>31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0">
        <v>723.79</v>
      </c>
      <c r="O21" s="10">
        <v>723.79</v>
      </c>
    </row>
    <row r="22" spans="1:15" x14ac:dyDescent="0.3">
      <c r="A22" s="5">
        <v>45936</v>
      </c>
      <c r="B22" s="8" t="s">
        <v>32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10">
        <v>210.89</v>
      </c>
      <c r="N22" s="10">
        <v>210.89</v>
      </c>
      <c r="O22" s="10">
        <f>SUM(M22:N22)</f>
        <v>421.78</v>
      </c>
    </row>
    <row r="23" spans="1:15" x14ac:dyDescent="0.3">
      <c r="A23" s="5">
        <v>45876</v>
      </c>
      <c r="B23" s="8" t="s">
        <v>33</v>
      </c>
      <c r="C23" s="2"/>
      <c r="D23" s="2"/>
      <c r="E23" s="2"/>
      <c r="F23" s="2"/>
      <c r="G23" s="2"/>
      <c r="H23" s="2"/>
      <c r="I23" s="2"/>
      <c r="J23" s="2"/>
      <c r="K23" s="10">
        <v>83.88</v>
      </c>
      <c r="L23" s="10">
        <v>83.88</v>
      </c>
      <c r="M23" s="10">
        <v>83.88</v>
      </c>
      <c r="N23" s="10">
        <v>83.88</v>
      </c>
      <c r="O23" s="10">
        <f>SUM(K23:N23)</f>
        <v>335.52</v>
      </c>
    </row>
    <row r="24" spans="1:15" x14ac:dyDescent="0.3">
      <c r="A24" s="5">
        <v>45966</v>
      </c>
      <c r="B24" s="8" t="s">
        <v>34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0">
        <v>729.57</v>
      </c>
      <c r="O24" s="42"/>
    </row>
    <row r="25" spans="1:15" x14ac:dyDescent="0.3">
      <c r="A25" s="5">
        <v>45966</v>
      </c>
      <c r="B25" s="8" t="s">
        <v>35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0">
        <v>729.57</v>
      </c>
      <c r="O25" s="42"/>
    </row>
    <row r="26" spans="1:15" x14ac:dyDescent="0.3">
      <c r="A26" s="5">
        <v>45966</v>
      </c>
      <c r="B26" s="8" t="s">
        <v>36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0">
        <v>729.57</v>
      </c>
      <c r="O26" s="42"/>
    </row>
    <row r="27" spans="1:15" x14ac:dyDescent="0.3">
      <c r="A27" s="5">
        <v>45966</v>
      </c>
      <c r="B27" s="8" t="s">
        <v>37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10">
        <v>729.57</v>
      </c>
      <c r="O27" s="42"/>
    </row>
    <row r="28" spans="1:15" x14ac:dyDescent="0.3">
      <c r="A28" s="5">
        <v>45966</v>
      </c>
      <c r="B28" s="8" t="s">
        <v>38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10">
        <v>723.75</v>
      </c>
      <c r="O28" s="42"/>
    </row>
    <row r="29" spans="1:15" x14ac:dyDescent="0.3">
      <c r="A29" s="5">
        <v>45966</v>
      </c>
      <c r="B29" s="8" t="s">
        <v>39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0">
        <v>723.75</v>
      </c>
      <c r="O29" s="42"/>
    </row>
    <row r="30" spans="1:15" x14ac:dyDescent="0.3">
      <c r="A30" s="5">
        <v>45966</v>
      </c>
      <c r="B30" s="8" t="s">
        <v>40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0">
        <v>723.75</v>
      </c>
      <c r="O30" s="42"/>
    </row>
    <row r="31" spans="1:15" x14ac:dyDescent="0.3">
      <c r="A31" s="5">
        <v>45966</v>
      </c>
      <c r="B31" s="8" t="s">
        <v>41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11">
        <v>723.75</v>
      </c>
      <c r="O31" s="42"/>
    </row>
    <row r="32" spans="1:15" x14ac:dyDescent="0.3">
      <c r="A32" s="5">
        <v>45908</v>
      </c>
      <c r="B32" s="8" t="s">
        <v>42</v>
      </c>
      <c r="C32" s="2"/>
      <c r="D32" s="2"/>
      <c r="E32" s="2"/>
      <c r="F32" s="2"/>
      <c r="G32" s="2"/>
      <c r="H32" s="2"/>
      <c r="I32" s="2"/>
      <c r="J32" s="2"/>
      <c r="K32" s="2"/>
      <c r="L32" s="10">
        <v>29.73</v>
      </c>
      <c r="M32" s="10">
        <v>29.73</v>
      </c>
      <c r="N32" s="10">
        <v>29.73</v>
      </c>
      <c r="O32" s="10">
        <f>SUM(L32:N32)</f>
        <v>89.19</v>
      </c>
    </row>
    <row r="33" spans="1:15" x14ac:dyDescent="0.3">
      <c r="A33" s="5">
        <v>45878</v>
      </c>
      <c r="B33" s="8" t="s">
        <v>43</v>
      </c>
      <c r="C33" s="2"/>
      <c r="D33" s="2"/>
      <c r="E33" s="2"/>
      <c r="F33" s="2"/>
      <c r="G33" s="2"/>
      <c r="H33" s="2"/>
      <c r="I33" s="2"/>
      <c r="J33" s="2"/>
      <c r="K33" s="10">
        <v>78.55</v>
      </c>
      <c r="L33" s="10">
        <v>78.55</v>
      </c>
      <c r="M33" s="10">
        <v>78.55</v>
      </c>
      <c r="N33" s="10">
        <v>78.55</v>
      </c>
      <c r="O33" s="10">
        <f>SUM(K33:N33)</f>
        <v>314.2</v>
      </c>
    </row>
    <row r="34" spans="1:15" x14ac:dyDescent="0.3">
      <c r="A34" s="5">
        <v>45941</v>
      </c>
      <c r="B34" s="8" t="s">
        <v>44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0">
        <v>119.71</v>
      </c>
      <c r="O34" s="10">
        <v>119.71</v>
      </c>
    </row>
    <row r="35" spans="1:15" x14ac:dyDescent="0.3">
      <c r="A35" s="5">
        <v>45942</v>
      </c>
      <c r="B35" s="8" t="s">
        <v>45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10">
        <v>62.43</v>
      </c>
      <c r="N35" s="10">
        <v>62.43</v>
      </c>
      <c r="O35" s="10">
        <f>SUM(M35:N35)</f>
        <v>124.86</v>
      </c>
    </row>
    <row r="36" spans="1:15" x14ac:dyDescent="0.3">
      <c r="A36" s="5">
        <v>45942</v>
      </c>
      <c r="B36" s="8" t="s">
        <v>46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10">
        <v>20.47</v>
      </c>
      <c r="N36" s="10">
        <v>20.47</v>
      </c>
      <c r="O36" s="10">
        <f>SUM(M36:N36)</f>
        <v>40.94</v>
      </c>
    </row>
    <row r="37" spans="1:15" x14ac:dyDescent="0.3">
      <c r="A37" s="5">
        <v>45701</v>
      </c>
      <c r="B37" s="8" t="s">
        <v>47</v>
      </c>
      <c r="C37" s="2"/>
      <c r="D37" s="2"/>
      <c r="E37" s="10">
        <v>103.24</v>
      </c>
      <c r="F37" s="10">
        <v>103.24</v>
      </c>
      <c r="G37" s="10">
        <v>103.24</v>
      </c>
      <c r="H37" s="10">
        <v>103.24</v>
      </c>
      <c r="I37" s="10">
        <v>103.24</v>
      </c>
      <c r="J37" s="10">
        <v>103.24</v>
      </c>
      <c r="K37" s="10">
        <v>103.24</v>
      </c>
      <c r="L37" s="10">
        <v>103.24</v>
      </c>
      <c r="M37" s="10">
        <v>103.24</v>
      </c>
      <c r="N37" s="10">
        <v>103.24</v>
      </c>
      <c r="O37" s="10">
        <f>SUM(E37:N37)</f>
        <v>1032.3999999999999</v>
      </c>
    </row>
    <row r="38" spans="1:15" x14ac:dyDescent="0.3">
      <c r="A38" s="5">
        <v>45702</v>
      </c>
      <c r="B38" s="8" t="s">
        <v>48</v>
      </c>
      <c r="C38" s="2"/>
      <c r="D38" s="2"/>
      <c r="E38" s="10">
        <v>111.65</v>
      </c>
      <c r="F38" s="10">
        <v>111.65</v>
      </c>
      <c r="G38" s="10">
        <v>111.65</v>
      </c>
      <c r="H38" s="10">
        <v>111.65</v>
      </c>
      <c r="I38" s="10">
        <v>111.65</v>
      </c>
      <c r="J38" s="10">
        <v>111.65</v>
      </c>
      <c r="K38" s="10">
        <v>111.65</v>
      </c>
      <c r="L38" s="10">
        <v>111.65</v>
      </c>
      <c r="M38" s="10">
        <v>111.65</v>
      </c>
      <c r="N38" s="10">
        <v>111.65</v>
      </c>
      <c r="O38" s="10">
        <f>SUM(E38:N38)</f>
        <v>1116.5</v>
      </c>
    </row>
    <row r="39" spans="1:15" x14ac:dyDescent="0.3">
      <c r="A39" s="5">
        <v>45915</v>
      </c>
      <c r="B39" s="8" t="s">
        <v>29</v>
      </c>
      <c r="C39" s="2"/>
      <c r="D39" s="2"/>
      <c r="E39" s="2"/>
      <c r="F39" s="2"/>
      <c r="G39" s="2"/>
      <c r="H39" s="2"/>
      <c r="I39" s="2"/>
      <c r="J39" s="2"/>
      <c r="K39" s="2"/>
      <c r="L39" s="11">
        <v>130.41999999999999</v>
      </c>
      <c r="M39" s="11">
        <v>130.41999999999999</v>
      </c>
      <c r="N39" s="11">
        <v>130.41999999999999</v>
      </c>
      <c r="O39" s="11">
        <f>SUM(L39:N39)</f>
        <v>391.26</v>
      </c>
    </row>
    <row r="40" spans="1:15" x14ac:dyDescent="0.3">
      <c r="A40" s="5">
        <v>45964</v>
      </c>
      <c r="B40" s="8" t="s">
        <v>49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0">
        <v>63.28</v>
      </c>
      <c r="O40" s="42"/>
    </row>
    <row r="41" spans="1:15" x14ac:dyDescent="0.3">
      <c r="A41" s="5">
        <v>45964</v>
      </c>
      <c r="B41" s="8" t="s">
        <v>50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0">
        <v>63.28</v>
      </c>
      <c r="O41" s="42"/>
    </row>
    <row r="42" spans="1:15" x14ac:dyDescent="0.3">
      <c r="A42" s="5">
        <v>45964</v>
      </c>
      <c r="B42" s="8" t="s">
        <v>51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0">
        <v>63.28</v>
      </c>
      <c r="O42" s="42"/>
    </row>
    <row r="43" spans="1:15" x14ac:dyDescent="0.3">
      <c r="A43" s="5">
        <v>45964</v>
      </c>
      <c r="B43" s="8" t="s">
        <v>52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0">
        <v>63.28</v>
      </c>
      <c r="O43" s="42"/>
    </row>
    <row r="44" spans="1:15" x14ac:dyDescent="0.3">
      <c r="A44" s="5">
        <v>45964</v>
      </c>
      <c r="B44" s="8" t="s">
        <v>53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0">
        <v>63.28</v>
      </c>
      <c r="O44" s="42"/>
    </row>
    <row r="45" spans="1:15" x14ac:dyDescent="0.3">
      <c r="A45" s="5">
        <v>45858</v>
      </c>
      <c r="B45" s="8" t="s">
        <v>54</v>
      </c>
      <c r="C45" s="2"/>
      <c r="D45" s="2"/>
      <c r="E45" s="2"/>
      <c r="F45" s="2"/>
      <c r="G45" s="2"/>
      <c r="H45" s="2"/>
      <c r="I45" s="2"/>
      <c r="J45" s="10">
        <v>59.99</v>
      </c>
      <c r="K45" s="10">
        <v>59.99</v>
      </c>
      <c r="L45" s="10">
        <v>59.99</v>
      </c>
      <c r="M45" s="10">
        <v>59.99</v>
      </c>
      <c r="N45" s="10">
        <v>59.99</v>
      </c>
      <c r="O45" s="10">
        <f>SUM(J45:N45)</f>
        <v>299.95</v>
      </c>
    </row>
    <row r="46" spans="1:15" x14ac:dyDescent="0.3">
      <c r="A46" s="5">
        <v>45858</v>
      </c>
      <c r="B46" s="8" t="s">
        <v>55</v>
      </c>
      <c r="C46" s="2"/>
      <c r="D46" s="2"/>
      <c r="E46" s="2"/>
      <c r="F46" s="2"/>
      <c r="G46" s="2"/>
      <c r="H46" s="2"/>
      <c r="I46" s="2"/>
      <c r="J46" s="10">
        <v>52.74</v>
      </c>
      <c r="K46" s="10">
        <v>52.74</v>
      </c>
      <c r="L46" s="10">
        <v>52.74</v>
      </c>
      <c r="M46" s="10">
        <v>52.74</v>
      </c>
      <c r="N46" s="10">
        <v>52.74</v>
      </c>
      <c r="O46" s="10">
        <f>SUM(J46:N46)</f>
        <v>263.7</v>
      </c>
    </row>
    <row r="47" spans="1:15" x14ac:dyDescent="0.3">
      <c r="A47" s="5">
        <v>45923</v>
      </c>
      <c r="B47" s="8" t="s">
        <v>56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10">
        <v>290.99</v>
      </c>
      <c r="O47" s="10">
        <v>290.99</v>
      </c>
    </row>
    <row r="48" spans="1:15" x14ac:dyDescent="0.3">
      <c r="A48" s="5">
        <v>45984</v>
      </c>
      <c r="B48" s="8" t="s">
        <v>27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10">
        <v>52.27</v>
      </c>
      <c r="O48" s="10">
        <v>52.27</v>
      </c>
    </row>
    <row r="49" spans="1:15" x14ac:dyDescent="0.3">
      <c r="A49" s="5">
        <v>45984</v>
      </c>
      <c r="B49" s="8" t="s">
        <v>57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10">
        <v>75.28</v>
      </c>
      <c r="O49" s="10">
        <v>75.28</v>
      </c>
    </row>
    <row r="50" spans="1:15" x14ac:dyDescent="0.3">
      <c r="A50" s="5">
        <v>45984</v>
      </c>
      <c r="B50" s="8" t="s">
        <v>58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10">
        <v>37.64</v>
      </c>
      <c r="O50" s="10">
        <v>37.64</v>
      </c>
    </row>
    <row r="51" spans="1:15" x14ac:dyDescent="0.3">
      <c r="A51" s="5">
        <v>45954</v>
      </c>
      <c r="B51" s="8" t="s">
        <v>59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0">
        <v>96.66</v>
      </c>
      <c r="O51" s="10">
        <v>96.66</v>
      </c>
    </row>
    <row r="52" spans="1:15" x14ac:dyDescent="0.3">
      <c r="A52" s="5">
        <v>45954</v>
      </c>
      <c r="B52" s="8" t="s">
        <v>46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0">
        <v>40.32</v>
      </c>
      <c r="O52" s="10">
        <v>40.32</v>
      </c>
    </row>
    <row r="53" spans="1:15" x14ac:dyDescent="0.3">
      <c r="A53" s="5">
        <v>45954</v>
      </c>
      <c r="B53" s="8" t="s">
        <v>60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0">
        <v>99.73</v>
      </c>
      <c r="O53" s="10">
        <v>99.73</v>
      </c>
    </row>
    <row r="54" spans="1:15" x14ac:dyDescent="0.3">
      <c r="A54" s="5">
        <v>45954</v>
      </c>
      <c r="B54" s="8" t="s">
        <v>61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0">
        <v>162.52000000000001</v>
      </c>
      <c r="O54" s="10">
        <v>162.52000000000001</v>
      </c>
    </row>
    <row r="55" spans="1:15" x14ac:dyDescent="0.3">
      <c r="A55" s="5">
        <v>45987</v>
      </c>
      <c r="B55" s="8" t="s">
        <v>27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0">
        <v>44.81</v>
      </c>
      <c r="O55" s="10">
        <v>44.81</v>
      </c>
    </row>
    <row r="56" spans="1:15" x14ac:dyDescent="0.3">
      <c r="A56" s="5">
        <v>45987</v>
      </c>
      <c r="B56" s="8" t="s">
        <v>4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1">
        <v>31.06</v>
      </c>
      <c r="O56" s="11">
        <v>31.06</v>
      </c>
    </row>
    <row r="57" spans="1:15" x14ac:dyDescent="0.3">
      <c r="A57" s="5">
        <v>45988</v>
      </c>
      <c r="B57" s="8" t="s">
        <v>62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0">
        <v>55.74</v>
      </c>
      <c r="O57" s="10">
        <v>55.74</v>
      </c>
    </row>
    <row r="58" spans="1:15" x14ac:dyDescent="0.3">
      <c r="A58" s="52" t="s">
        <v>86</v>
      </c>
      <c r="B58" s="53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8"/>
      <c r="N58" s="10">
        <f>SUM(N4:N57)</f>
        <v>2893.7400000000007</v>
      </c>
      <c r="O58" s="43">
        <f>SUM(N58)</f>
        <v>2893.7400000000007</v>
      </c>
    </row>
    <row r="59" spans="1:15" x14ac:dyDescent="0.3">
      <c r="A59" s="3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40"/>
    </row>
    <row r="60" spans="1:15" x14ac:dyDescent="0.3">
      <c r="A60" s="25" t="s">
        <v>66</v>
      </c>
      <c r="B60" s="25" t="s">
        <v>89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0">
        <v>68.209999999999994</v>
      </c>
      <c r="O60" s="44">
        <f>SUM(N60)</f>
        <v>68.209999999999994</v>
      </c>
    </row>
    <row r="61" spans="1:15" x14ac:dyDescent="0.3">
      <c r="A61" s="8" t="s">
        <v>0</v>
      </c>
      <c r="B61" s="25" t="s">
        <v>74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0">
        <v>136.86000000000001</v>
      </c>
      <c r="O61" s="44">
        <f t="shared" ref="O61:O78" si="0">SUM(N61)</f>
        <v>136.86000000000001</v>
      </c>
    </row>
    <row r="62" spans="1:15" x14ac:dyDescent="0.3">
      <c r="A62" s="25" t="s">
        <v>66</v>
      </c>
      <c r="B62" s="25" t="s">
        <v>75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0">
        <v>45.61</v>
      </c>
      <c r="O62" s="44">
        <f t="shared" si="0"/>
        <v>45.61</v>
      </c>
    </row>
    <row r="63" spans="1:15" x14ac:dyDescent="0.3">
      <c r="A63" s="25" t="s">
        <v>3</v>
      </c>
      <c r="B63" s="25" t="s">
        <v>76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0">
        <v>14.9</v>
      </c>
      <c r="O63" s="44">
        <f t="shared" si="0"/>
        <v>14.9</v>
      </c>
    </row>
    <row r="64" spans="1:15" x14ac:dyDescent="0.3">
      <c r="A64" s="25" t="s">
        <v>67</v>
      </c>
      <c r="B64" s="25" t="s">
        <v>77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0">
        <v>90</v>
      </c>
      <c r="O64" s="44">
        <f t="shared" si="0"/>
        <v>90</v>
      </c>
    </row>
    <row r="65" spans="1:17" x14ac:dyDescent="0.3">
      <c r="A65" s="25" t="s">
        <v>68</v>
      </c>
      <c r="B65" s="25" t="s">
        <v>78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0">
        <v>16.399999999999999</v>
      </c>
      <c r="O65" s="44">
        <f t="shared" si="0"/>
        <v>16.399999999999999</v>
      </c>
    </row>
    <row r="66" spans="1:17" x14ac:dyDescent="0.3">
      <c r="A66" s="25" t="s">
        <v>68</v>
      </c>
      <c r="B66" s="25" t="s">
        <v>75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10">
        <v>60.9</v>
      </c>
      <c r="O66" s="44">
        <f t="shared" si="0"/>
        <v>60.9</v>
      </c>
    </row>
    <row r="67" spans="1:17" x14ac:dyDescent="0.3">
      <c r="A67" s="25" t="s">
        <v>68</v>
      </c>
      <c r="B67" s="25" t="s">
        <v>75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10">
        <v>38.700000000000003</v>
      </c>
      <c r="O67" s="44">
        <f t="shared" si="0"/>
        <v>38.700000000000003</v>
      </c>
    </row>
    <row r="68" spans="1:17" x14ac:dyDescent="0.3">
      <c r="A68" s="25" t="s">
        <v>69</v>
      </c>
      <c r="B68" s="25" t="s">
        <v>79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10">
        <v>37.950000000000003</v>
      </c>
      <c r="O68" s="44">
        <f t="shared" si="0"/>
        <v>37.950000000000003</v>
      </c>
    </row>
    <row r="69" spans="1:17" x14ac:dyDescent="0.3">
      <c r="A69" s="25" t="s">
        <v>69</v>
      </c>
      <c r="B69" s="25" t="s">
        <v>80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10">
        <v>99.34</v>
      </c>
      <c r="O69" s="44">
        <f t="shared" si="0"/>
        <v>99.34</v>
      </c>
    </row>
    <row r="70" spans="1:17" x14ac:dyDescent="0.3">
      <c r="A70" s="25" t="s">
        <v>69</v>
      </c>
      <c r="B70" s="25" t="s">
        <v>81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10">
        <v>42.28</v>
      </c>
      <c r="O70" s="44">
        <f t="shared" si="0"/>
        <v>42.28</v>
      </c>
    </row>
    <row r="71" spans="1:17" x14ac:dyDescent="0.3">
      <c r="A71" s="25" t="s">
        <v>70</v>
      </c>
      <c r="B71" s="25" t="s">
        <v>82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10">
        <v>71.81</v>
      </c>
      <c r="O71" s="44">
        <f t="shared" si="0"/>
        <v>71.81</v>
      </c>
    </row>
    <row r="72" spans="1:17" x14ac:dyDescent="0.3">
      <c r="A72" s="25" t="s">
        <v>71</v>
      </c>
      <c r="B72" s="25" t="s">
        <v>83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10">
        <v>16.899999999999999</v>
      </c>
      <c r="O72" s="44">
        <f t="shared" si="0"/>
        <v>16.899999999999999</v>
      </c>
    </row>
    <row r="73" spans="1:17" x14ac:dyDescent="0.3">
      <c r="A73" s="25" t="s">
        <v>72</v>
      </c>
      <c r="B73" s="25" t="s">
        <v>84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10">
        <v>1.99</v>
      </c>
      <c r="O73" s="44">
        <f t="shared" si="0"/>
        <v>1.99</v>
      </c>
    </row>
    <row r="74" spans="1:17" x14ac:dyDescent="0.3">
      <c r="A74" s="25" t="s">
        <v>73</v>
      </c>
      <c r="B74" s="25" t="s">
        <v>85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10">
        <v>31.9</v>
      </c>
      <c r="O74" s="44">
        <f t="shared" si="0"/>
        <v>31.9</v>
      </c>
    </row>
    <row r="75" spans="1:17" x14ac:dyDescent="0.3">
      <c r="A75" s="25" t="s">
        <v>90</v>
      </c>
      <c r="B75" s="25" t="s">
        <v>91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10">
        <v>167</v>
      </c>
      <c r="O75" s="44">
        <f t="shared" si="0"/>
        <v>167</v>
      </c>
    </row>
    <row r="76" spans="1:17" x14ac:dyDescent="0.3">
      <c r="A76" s="25" t="s">
        <v>94</v>
      </c>
      <c r="B76" s="25" t="s">
        <v>95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10">
        <v>45.5</v>
      </c>
      <c r="O76" s="44">
        <f t="shared" si="0"/>
        <v>45.5</v>
      </c>
    </row>
    <row r="77" spans="1:17" x14ac:dyDescent="0.3">
      <c r="A77" s="25" t="s">
        <v>68</v>
      </c>
      <c r="B77" s="25" t="s">
        <v>92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10">
        <v>10</v>
      </c>
      <c r="O77" s="44">
        <f t="shared" si="0"/>
        <v>10</v>
      </c>
    </row>
    <row r="78" spans="1:17" x14ac:dyDescent="0.3">
      <c r="A78" s="25" t="s">
        <v>93</v>
      </c>
      <c r="B78" s="25" t="s">
        <v>84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10">
        <v>16.899999999999999</v>
      </c>
      <c r="O78" s="44">
        <f t="shared" si="0"/>
        <v>16.899999999999999</v>
      </c>
      <c r="Q78" s="26"/>
    </row>
    <row r="79" spans="1:17" x14ac:dyDescent="0.3">
      <c r="A79" s="52" t="s">
        <v>87</v>
      </c>
      <c r="B79" s="53"/>
      <c r="C79" s="16"/>
      <c r="D79" s="17"/>
      <c r="E79" s="17"/>
      <c r="F79" s="17"/>
      <c r="G79" s="17"/>
      <c r="H79" s="17"/>
      <c r="I79" s="17"/>
      <c r="J79" s="17"/>
      <c r="K79" s="17"/>
      <c r="L79" s="17"/>
      <c r="M79" s="18"/>
      <c r="N79" s="43">
        <f>SUM(N60:N78)</f>
        <v>1013.1499999999997</v>
      </c>
      <c r="O79" s="10">
        <f>SUM(O60:O78)</f>
        <v>1013.1499999999997</v>
      </c>
    </row>
    <row r="80" spans="1:17" x14ac:dyDescent="0.3">
      <c r="A80" s="52" t="s">
        <v>88</v>
      </c>
      <c r="B80" s="53"/>
      <c r="C80" s="16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0">
        <f>SUM(N58,N79)</f>
        <v>3906.8900000000003</v>
      </c>
      <c r="O80" s="45">
        <f>SUM(N80)</f>
        <v>3906.8900000000003</v>
      </c>
      <c r="Q80" s="26"/>
    </row>
    <row r="81" spans="1:15" x14ac:dyDescent="0.3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x14ac:dyDescent="0.3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x14ac:dyDescent="0.3">
      <c r="A83" s="58">
        <v>2026</v>
      </c>
      <c r="B83" s="59" t="s">
        <v>120</v>
      </c>
      <c r="C83" s="59" t="s">
        <v>9</v>
      </c>
      <c r="D83" s="59" t="s">
        <v>10</v>
      </c>
      <c r="E83" s="59" t="s">
        <v>11</v>
      </c>
      <c r="F83" s="59" t="s">
        <v>12</v>
      </c>
      <c r="G83" s="59" t="s">
        <v>13</v>
      </c>
      <c r="H83" s="59" t="s">
        <v>14</v>
      </c>
      <c r="I83" s="59" t="s">
        <v>15</v>
      </c>
      <c r="J83" s="59" t="s">
        <v>16</v>
      </c>
      <c r="K83" s="59" t="s">
        <v>17</v>
      </c>
      <c r="L83" s="59" t="s">
        <v>18</v>
      </c>
      <c r="M83" s="59" t="s">
        <v>19</v>
      </c>
      <c r="N83" s="59" t="s">
        <v>20</v>
      </c>
      <c r="O83" s="60" t="s">
        <v>21</v>
      </c>
    </row>
    <row r="84" spans="1:15" x14ac:dyDescent="0.3">
      <c r="A84" s="61"/>
      <c r="B84" s="59" t="s">
        <v>155</v>
      </c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48">
        <v>3906.89</v>
      </c>
      <c r="O84" s="46"/>
    </row>
    <row r="85" spans="1:15" x14ac:dyDescent="0.3">
      <c r="A85" s="62">
        <v>46358</v>
      </c>
      <c r="B85" s="59" t="s">
        <v>118</v>
      </c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48">
        <v>-45.5</v>
      </c>
      <c r="O85" s="46"/>
    </row>
    <row r="86" spans="1:15" x14ac:dyDescent="0.3">
      <c r="A86" s="62">
        <v>46001</v>
      </c>
      <c r="B86" s="59" t="s">
        <v>157</v>
      </c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48">
        <v>-3906.89</v>
      </c>
      <c r="O86" s="46"/>
    </row>
    <row r="87" spans="1:15" x14ac:dyDescent="0.3">
      <c r="A87" s="12">
        <v>45834</v>
      </c>
      <c r="B87" s="51" t="s">
        <v>96</v>
      </c>
      <c r="C87" s="50">
        <v>54.5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50">
        <f>SUM(C87)</f>
        <v>54.5</v>
      </c>
    </row>
    <row r="88" spans="1:15" x14ac:dyDescent="0.3">
      <c r="A88" s="28" t="s">
        <v>142</v>
      </c>
      <c r="B88" s="29" t="s">
        <v>29</v>
      </c>
      <c r="C88" s="30">
        <v>34.090000000000003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9">
        <f t="shared" ref="O88:O90" si="1">SUM(C88:N88)</f>
        <v>34.090000000000003</v>
      </c>
    </row>
    <row r="89" spans="1:15" x14ac:dyDescent="0.3">
      <c r="A89" s="28" t="s">
        <v>143</v>
      </c>
      <c r="B89" s="29" t="s">
        <v>32</v>
      </c>
      <c r="C89" s="30">
        <v>165.26</v>
      </c>
      <c r="D89" s="30">
        <v>165.26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9">
        <f t="shared" si="1"/>
        <v>330.52</v>
      </c>
    </row>
    <row r="90" spans="1:15" x14ac:dyDescent="0.3">
      <c r="A90" s="28" t="s">
        <v>143</v>
      </c>
      <c r="B90" s="29" t="s">
        <v>144</v>
      </c>
      <c r="C90" s="30">
        <v>29.58</v>
      </c>
      <c r="D90" s="30">
        <v>29.58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9">
        <f t="shared" si="1"/>
        <v>59.16</v>
      </c>
    </row>
    <row r="91" spans="1:15" x14ac:dyDescent="0.3">
      <c r="A91" s="5">
        <v>45959</v>
      </c>
      <c r="B91" s="20" t="s">
        <v>97</v>
      </c>
      <c r="C91" s="7">
        <v>22.86</v>
      </c>
      <c r="D91" s="7">
        <v>22.86</v>
      </c>
      <c r="E91" s="7">
        <v>22.86</v>
      </c>
      <c r="F91" s="7">
        <v>22.86</v>
      </c>
      <c r="G91" s="2"/>
      <c r="H91" s="2"/>
      <c r="I91" s="2"/>
      <c r="J91" s="2"/>
      <c r="K91" s="2"/>
      <c r="L91" s="2"/>
      <c r="M91" s="2"/>
      <c r="N91" s="2"/>
      <c r="O91" s="9">
        <f>SUM(C91:N91)</f>
        <v>91.44</v>
      </c>
    </row>
    <row r="92" spans="1:15" x14ac:dyDescent="0.3">
      <c r="A92" s="31" t="s">
        <v>145</v>
      </c>
      <c r="B92" s="32" t="s">
        <v>146</v>
      </c>
      <c r="C92" s="33">
        <v>21.63</v>
      </c>
      <c r="D92" s="33">
        <v>21.63</v>
      </c>
      <c r="E92" s="33">
        <v>21.63</v>
      </c>
      <c r="F92" s="2"/>
      <c r="G92" s="2"/>
      <c r="H92" s="2"/>
      <c r="I92" s="2"/>
      <c r="J92" s="2"/>
      <c r="K92" s="2"/>
      <c r="L92" s="2"/>
      <c r="M92" s="2"/>
      <c r="N92" s="2"/>
      <c r="O92" s="9">
        <f>SUM(C92:N92)</f>
        <v>64.89</v>
      </c>
    </row>
    <row r="93" spans="1:15" x14ac:dyDescent="0.3">
      <c r="A93" s="5" t="s">
        <v>0</v>
      </c>
      <c r="B93" s="21" t="s">
        <v>99</v>
      </c>
      <c r="C93" s="7">
        <v>52.81</v>
      </c>
      <c r="D93" s="7">
        <v>52.81</v>
      </c>
      <c r="E93" s="7">
        <v>52.81</v>
      </c>
      <c r="F93" s="2"/>
      <c r="G93" s="2"/>
      <c r="H93" s="2"/>
      <c r="I93" s="2"/>
      <c r="J93" s="2"/>
      <c r="K93" s="2"/>
      <c r="L93" s="2"/>
      <c r="M93" s="2"/>
      <c r="N93" s="2"/>
      <c r="O93" s="9">
        <f>SUM(C93,D93,E93)</f>
        <v>158.43</v>
      </c>
    </row>
    <row r="94" spans="1:15" x14ac:dyDescent="0.3">
      <c r="A94" s="5" t="s">
        <v>0</v>
      </c>
      <c r="B94" s="21" t="s">
        <v>100</v>
      </c>
      <c r="C94" s="7">
        <v>29.8</v>
      </c>
      <c r="D94" s="7">
        <v>29.8</v>
      </c>
      <c r="E94" s="7">
        <v>29.8</v>
      </c>
      <c r="F94" s="7">
        <v>29.8</v>
      </c>
      <c r="G94" s="2"/>
      <c r="H94" s="2"/>
      <c r="I94" s="2"/>
      <c r="J94" s="2"/>
      <c r="K94" s="2"/>
      <c r="L94" s="2"/>
      <c r="M94" s="2"/>
      <c r="N94" s="2"/>
      <c r="O94" s="9">
        <f>SUM(C94:F94)</f>
        <v>119.2</v>
      </c>
    </row>
    <row r="95" spans="1:15" x14ac:dyDescent="0.3">
      <c r="A95" s="5">
        <v>45930</v>
      </c>
      <c r="B95" s="20" t="s">
        <v>98</v>
      </c>
      <c r="C95" s="7">
        <v>32.93</v>
      </c>
      <c r="D95" s="7">
        <v>32.93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>SUM(C95:D95)</f>
        <v>65.86</v>
      </c>
    </row>
    <row r="96" spans="1:15" x14ac:dyDescent="0.3">
      <c r="A96" s="5" t="s">
        <v>3</v>
      </c>
      <c r="B96" s="21" t="s">
        <v>46</v>
      </c>
      <c r="C96" s="7">
        <v>58.09</v>
      </c>
      <c r="D96" s="7">
        <v>58.09</v>
      </c>
      <c r="E96" s="7">
        <v>58.09</v>
      </c>
      <c r="F96" s="2"/>
      <c r="G96" s="2"/>
      <c r="H96" s="2"/>
      <c r="I96" s="2"/>
      <c r="J96" s="2"/>
      <c r="K96" s="2"/>
      <c r="L96" s="2"/>
      <c r="M96" s="2"/>
      <c r="N96" s="2"/>
      <c r="O96" s="9">
        <f>SUM(C96:N96)</f>
        <v>174.27</v>
      </c>
    </row>
    <row r="97" spans="1:15" x14ac:dyDescent="0.3">
      <c r="A97" s="5" t="s">
        <v>7</v>
      </c>
      <c r="B97" s="21" t="s">
        <v>101</v>
      </c>
      <c r="C97" s="7">
        <v>183.99</v>
      </c>
      <c r="D97" s="7">
        <v>183.99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9">
        <f>SUM(C97,D97)</f>
        <v>367.98</v>
      </c>
    </row>
    <row r="98" spans="1:15" x14ac:dyDescent="0.3">
      <c r="A98" s="5">
        <v>45965</v>
      </c>
      <c r="B98" s="21" t="s">
        <v>45</v>
      </c>
      <c r="C98" s="9">
        <v>75.040000000000006</v>
      </c>
      <c r="D98" s="9">
        <v>75.040000000000006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7">
        <f>SUM(C98:N98)</f>
        <v>150.08000000000001</v>
      </c>
    </row>
    <row r="99" spans="1:15" x14ac:dyDescent="0.3">
      <c r="A99" s="5">
        <v>45965</v>
      </c>
      <c r="B99" s="21" t="s">
        <v>102</v>
      </c>
      <c r="C99" s="9">
        <v>121.25</v>
      </c>
      <c r="D99" s="9">
        <v>121.25</v>
      </c>
      <c r="E99" s="9">
        <v>121.25</v>
      </c>
      <c r="F99" s="9">
        <v>121.25</v>
      </c>
      <c r="G99" s="9">
        <v>121.25</v>
      </c>
      <c r="H99" s="2"/>
      <c r="I99" s="2"/>
      <c r="J99" s="2"/>
      <c r="K99" s="2"/>
      <c r="L99" s="2"/>
      <c r="M99" s="2"/>
      <c r="N99" s="2"/>
      <c r="O99" s="7">
        <f>SUM(C99:G99)</f>
        <v>606.25</v>
      </c>
    </row>
    <row r="100" spans="1:15" x14ac:dyDescent="0.3">
      <c r="A100" s="5">
        <v>45905</v>
      </c>
      <c r="B100" s="21" t="s">
        <v>103</v>
      </c>
      <c r="C100" s="9">
        <v>71.989999999999995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7">
        <f>SUM(C100)</f>
        <v>71.989999999999995</v>
      </c>
    </row>
    <row r="101" spans="1:15" x14ac:dyDescent="0.3">
      <c r="A101" s="31" t="s">
        <v>147</v>
      </c>
      <c r="B101" s="33" t="s">
        <v>28</v>
      </c>
      <c r="C101" s="33">
        <v>114.59</v>
      </c>
      <c r="D101" s="33">
        <v>114.59</v>
      </c>
      <c r="E101" s="33">
        <v>114.59</v>
      </c>
      <c r="F101" s="33">
        <v>114.59</v>
      </c>
      <c r="G101" s="33">
        <v>114.59</v>
      </c>
      <c r="H101" s="33">
        <v>114.59</v>
      </c>
      <c r="I101" s="2"/>
      <c r="J101" s="2"/>
      <c r="K101" s="2"/>
      <c r="L101" s="2"/>
      <c r="M101" s="2"/>
      <c r="N101" s="2"/>
      <c r="O101" s="7">
        <f>SUM(C101)</f>
        <v>114.59</v>
      </c>
    </row>
    <row r="102" spans="1:15" x14ac:dyDescent="0.3">
      <c r="A102" s="5">
        <v>45936</v>
      </c>
      <c r="B102" s="21" t="s">
        <v>104</v>
      </c>
      <c r="C102" s="9">
        <v>210.89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7">
        <f>SUM(C102)</f>
        <v>210.89</v>
      </c>
    </row>
    <row r="103" spans="1:15" x14ac:dyDescent="0.3">
      <c r="A103" s="5">
        <v>45876</v>
      </c>
      <c r="B103" s="21" t="s">
        <v>105</v>
      </c>
      <c r="C103" s="9">
        <v>83.88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7">
        <f>SUM(C103)</f>
        <v>83.88</v>
      </c>
    </row>
    <row r="104" spans="1:15" x14ac:dyDescent="0.3">
      <c r="A104" s="5">
        <v>45908</v>
      </c>
      <c r="B104" s="21" t="s">
        <v>106</v>
      </c>
      <c r="C104" s="9">
        <v>29.73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7">
        <f>SUM(C104)</f>
        <v>29.73</v>
      </c>
    </row>
    <row r="105" spans="1:15" x14ac:dyDescent="0.3">
      <c r="A105" s="5">
        <v>45878</v>
      </c>
      <c r="B105" s="21" t="s">
        <v>107</v>
      </c>
      <c r="C105" s="9">
        <v>78.55</v>
      </c>
      <c r="D105" s="9">
        <v>78.55</v>
      </c>
      <c r="E105" s="9">
        <v>78.55</v>
      </c>
      <c r="F105" s="2"/>
      <c r="G105" s="2"/>
      <c r="H105" s="2"/>
      <c r="I105" s="2"/>
      <c r="J105" s="2"/>
      <c r="K105" s="2"/>
      <c r="L105" s="2"/>
      <c r="M105" s="2"/>
      <c r="N105" s="2"/>
      <c r="O105" s="7">
        <f>SUM(C105:E105)</f>
        <v>235.64999999999998</v>
      </c>
    </row>
    <row r="106" spans="1:15" x14ac:dyDescent="0.3">
      <c r="A106" s="31" t="s">
        <v>148</v>
      </c>
      <c r="B106" s="33" t="s">
        <v>149</v>
      </c>
      <c r="C106" s="33">
        <v>111.2</v>
      </c>
      <c r="D106" s="33">
        <v>111.2</v>
      </c>
      <c r="E106" s="33">
        <v>111.2</v>
      </c>
      <c r="F106" s="2"/>
      <c r="G106" s="2"/>
      <c r="H106" s="2"/>
      <c r="I106" s="2"/>
      <c r="J106" s="2"/>
      <c r="K106" s="2"/>
      <c r="L106" s="2"/>
      <c r="M106" s="2"/>
      <c r="N106" s="2"/>
      <c r="O106" s="7">
        <f t="shared" ref="O106:O107" si="2">SUM(C106:E106)</f>
        <v>333.6</v>
      </c>
    </row>
    <row r="107" spans="1:15" x14ac:dyDescent="0.3">
      <c r="A107" s="31" t="s">
        <v>137</v>
      </c>
      <c r="B107" s="33" t="s">
        <v>150</v>
      </c>
      <c r="C107" s="33">
        <v>203.32</v>
      </c>
      <c r="D107" s="33">
        <v>203.32</v>
      </c>
      <c r="E107" s="33">
        <v>203.32</v>
      </c>
      <c r="F107" s="2"/>
      <c r="G107" s="2"/>
      <c r="H107" s="2"/>
      <c r="I107" s="2"/>
      <c r="J107" s="2"/>
      <c r="K107" s="2"/>
      <c r="L107" s="2"/>
      <c r="M107" s="2"/>
      <c r="N107" s="2"/>
      <c r="O107" s="7">
        <f t="shared" si="2"/>
        <v>609.96</v>
      </c>
    </row>
    <row r="108" spans="1:15" x14ac:dyDescent="0.3">
      <c r="A108" s="5">
        <v>45942</v>
      </c>
      <c r="B108" s="21" t="s">
        <v>29</v>
      </c>
      <c r="C108" s="9">
        <v>62.43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7">
        <f>SUM(C108)</f>
        <v>62.43</v>
      </c>
    </row>
    <row r="109" spans="1:15" x14ac:dyDescent="0.3">
      <c r="A109" s="5">
        <v>45942</v>
      </c>
      <c r="B109" s="21" t="s">
        <v>108</v>
      </c>
      <c r="C109" s="9">
        <v>20.47</v>
      </c>
      <c r="D109" s="9">
        <v>20.47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7">
        <f>SUM(C109,D109)</f>
        <v>40.94</v>
      </c>
    </row>
    <row r="110" spans="1:15" x14ac:dyDescent="0.3">
      <c r="A110" s="31" t="s">
        <v>151</v>
      </c>
      <c r="B110" s="33" t="s">
        <v>152</v>
      </c>
      <c r="C110" s="33">
        <v>27.89</v>
      </c>
      <c r="D110" s="33">
        <v>27.89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7">
        <f>SUM(C110,D110)</f>
        <v>55.78</v>
      </c>
    </row>
    <row r="111" spans="1:15" x14ac:dyDescent="0.3">
      <c r="A111" s="5">
        <v>45858</v>
      </c>
      <c r="B111" s="21" t="s">
        <v>109</v>
      </c>
      <c r="C111" s="9">
        <v>52.74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7">
        <f>SUM(C111)</f>
        <v>52.74</v>
      </c>
    </row>
    <row r="112" spans="1:15" x14ac:dyDescent="0.3">
      <c r="A112" s="5">
        <v>45923</v>
      </c>
      <c r="B112" s="21" t="s">
        <v>110</v>
      </c>
      <c r="C112" s="9">
        <v>290.99</v>
      </c>
      <c r="D112" s="9">
        <v>290.99</v>
      </c>
      <c r="E112" s="9">
        <v>290.99</v>
      </c>
      <c r="F112" s="9">
        <v>290.99</v>
      </c>
      <c r="G112" s="9">
        <v>290.99</v>
      </c>
      <c r="H112" s="2"/>
      <c r="I112" s="2"/>
      <c r="J112" s="2"/>
      <c r="K112" s="2"/>
      <c r="L112" s="2"/>
      <c r="M112" s="2"/>
      <c r="N112" s="2"/>
      <c r="O112" s="7">
        <f>SUM(C112:G112)</f>
        <v>1454.95</v>
      </c>
    </row>
    <row r="113" spans="1:15" ht="14.4" customHeight="1" x14ac:dyDescent="0.3">
      <c r="A113" s="5">
        <v>45984</v>
      </c>
      <c r="B113" s="21" t="s">
        <v>45</v>
      </c>
      <c r="C113" s="9">
        <v>52.25</v>
      </c>
      <c r="D113" s="9">
        <v>52.25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7">
        <f>SUM(C113,D113)</f>
        <v>104.5</v>
      </c>
    </row>
    <row r="114" spans="1:15" x14ac:dyDescent="0.3">
      <c r="A114" s="5">
        <v>45984</v>
      </c>
      <c r="B114" s="21" t="s">
        <v>112</v>
      </c>
      <c r="C114" s="9">
        <v>37.630000000000003</v>
      </c>
      <c r="D114" s="9">
        <v>37.64</v>
      </c>
      <c r="E114" s="9">
        <v>37.64</v>
      </c>
      <c r="F114" s="9">
        <v>37.64</v>
      </c>
      <c r="G114" s="2"/>
      <c r="H114" s="2"/>
      <c r="I114" s="2"/>
      <c r="J114" s="2"/>
      <c r="K114" s="2"/>
      <c r="L114" s="2"/>
      <c r="M114" s="2"/>
      <c r="N114" s="2"/>
      <c r="O114" s="7">
        <f>SUM(C114:F114)</f>
        <v>150.55000000000001</v>
      </c>
    </row>
    <row r="115" spans="1:15" x14ac:dyDescent="0.3">
      <c r="A115" s="5">
        <v>45984</v>
      </c>
      <c r="B115" s="21" t="s">
        <v>111</v>
      </c>
      <c r="C115" s="9">
        <v>75.260000000000005</v>
      </c>
      <c r="D115" s="9">
        <v>75.260000000000005</v>
      </c>
      <c r="E115" s="9">
        <v>75.260000000000005</v>
      </c>
      <c r="F115" s="9">
        <v>75.260000000000005</v>
      </c>
      <c r="G115" s="2"/>
      <c r="H115" s="2"/>
      <c r="I115" s="2"/>
      <c r="J115" s="2"/>
      <c r="K115" s="2"/>
      <c r="L115" s="2"/>
      <c r="M115" s="2"/>
      <c r="N115" s="2"/>
      <c r="O115" s="7">
        <f>SUM(C115:F115)</f>
        <v>301.04000000000002</v>
      </c>
    </row>
    <row r="116" spans="1:15" x14ac:dyDescent="0.3">
      <c r="A116" s="31" t="s">
        <v>153</v>
      </c>
      <c r="B116" s="33" t="s">
        <v>149</v>
      </c>
      <c r="C116" s="33">
        <v>83.06</v>
      </c>
      <c r="D116" s="33">
        <v>83.06</v>
      </c>
      <c r="E116" s="33">
        <v>83.06</v>
      </c>
      <c r="F116" s="2"/>
      <c r="G116" s="2"/>
      <c r="H116" s="2"/>
      <c r="I116" s="2"/>
      <c r="J116" s="2"/>
      <c r="K116" s="2"/>
      <c r="L116" s="2"/>
      <c r="M116" s="2"/>
      <c r="N116" s="2"/>
      <c r="O116" s="7">
        <f>SUM(C116:F116)</f>
        <v>249.18</v>
      </c>
    </row>
    <row r="117" spans="1:15" x14ac:dyDescent="0.3">
      <c r="A117" s="5">
        <v>45954</v>
      </c>
      <c r="B117" s="21" t="s">
        <v>113</v>
      </c>
      <c r="C117" s="9">
        <v>96.66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7">
        <f>SUM(C117)</f>
        <v>96.66</v>
      </c>
    </row>
    <row r="118" spans="1:15" x14ac:dyDescent="0.3">
      <c r="A118" s="31" t="s">
        <v>153</v>
      </c>
      <c r="B118" s="33" t="s">
        <v>154</v>
      </c>
      <c r="C118" s="33">
        <v>34.770000000000003</v>
      </c>
      <c r="D118" s="33">
        <v>34.770000000000003</v>
      </c>
      <c r="E118" s="33">
        <v>34.770000000000003</v>
      </c>
      <c r="F118" s="33">
        <v>34.770000000000003</v>
      </c>
      <c r="G118" s="33">
        <v>34.770000000000003</v>
      </c>
      <c r="H118" s="33">
        <v>34.770000000000003</v>
      </c>
      <c r="I118" s="33">
        <v>34.770000000000003</v>
      </c>
      <c r="J118" s="33">
        <v>34.770000000000003</v>
      </c>
      <c r="K118" s="33">
        <v>34.770000000000003</v>
      </c>
      <c r="L118" s="33">
        <v>34.770000000000003</v>
      </c>
      <c r="M118" s="2"/>
      <c r="N118" s="2"/>
      <c r="O118" s="7">
        <f>SUM(C118:N118)</f>
        <v>347.7</v>
      </c>
    </row>
    <row r="119" spans="1:15" x14ac:dyDescent="0.3">
      <c r="A119" s="5">
        <v>45954</v>
      </c>
      <c r="B119" s="21" t="s">
        <v>108</v>
      </c>
      <c r="C119" s="9">
        <v>40.32</v>
      </c>
      <c r="D119" s="9">
        <v>40.32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7">
        <f>SUM(C119,D119)</f>
        <v>80.64</v>
      </c>
    </row>
    <row r="120" spans="1:15" x14ac:dyDescent="0.3">
      <c r="A120" s="5">
        <v>45954</v>
      </c>
      <c r="B120" s="21" t="s">
        <v>114</v>
      </c>
      <c r="C120" s="9">
        <v>99.73</v>
      </c>
      <c r="D120" s="9">
        <v>99.73</v>
      </c>
      <c r="E120" s="9">
        <v>99.73</v>
      </c>
      <c r="F120" s="9">
        <v>99.73</v>
      </c>
      <c r="G120" s="9">
        <v>99.73</v>
      </c>
      <c r="H120" s="9">
        <v>99.73</v>
      </c>
      <c r="I120" s="9">
        <v>99.73</v>
      </c>
      <c r="J120" s="9">
        <v>99.73</v>
      </c>
      <c r="K120" s="2"/>
      <c r="L120" s="2"/>
      <c r="M120" s="2"/>
      <c r="N120" s="2"/>
      <c r="O120" s="7">
        <f>SUM(C120:J120)</f>
        <v>797.84</v>
      </c>
    </row>
    <row r="121" spans="1:15" x14ac:dyDescent="0.3">
      <c r="A121" s="5">
        <v>45954</v>
      </c>
      <c r="B121" s="21" t="s">
        <v>115</v>
      </c>
      <c r="C121" s="9">
        <v>162.52000000000001</v>
      </c>
      <c r="D121" s="9">
        <v>162.52000000000001</v>
      </c>
      <c r="E121" s="9">
        <v>162.52000000000001</v>
      </c>
      <c r="F121" s="9">
        <v>162.52000000000001</v>
      </c>
      <c r="G121" s="9">
        <v>162.52000000000001</v>
      </c>
      <c r="H121" s="9">
        <v>162.52000000000001</v>
      </c>
      <c r="I121" s="9">
        <v>162.52000000000001</v>
      </c>
      <c r="J121" s="9">
        <v>162.52000000000001</v>
      </c>
      <c r="K121" s="2"/>
      <c r="L121" s="2"/>
      <c r="M121" s="2"/>
      <c r="N121" s="2"/>
      <c r="O121" s="7">
        <f>SUM(C121:J121)</f>
        <v>1300.1600000000001</v>
      </c>
    </row>
    <row r="122" spans="1:15" x14ac:dyDescent="0.3">
      <c r="A122" s="5">
        <v>45987</v>
      </c>
      <c r="B122" s="21" t="s">
        <v>45</v>
      </c>
      <c r="C122" s="9">
        <v>44.79</v>
      </c>
      <c r="D122" s="9">
        <v>44.81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7">
        <f>SUM(C122:D122)</f>
        <v>89.6</v>
      </c>
    </row>
    <row r="123" spans="1:15" x14ac:dyDescent="0.3">
      <c r="A123" s="5">
        <v>45987</v>
      </c>
      <c r="B123" s="21" t="s">
        <v>46</v>
      </c>
      <c r="C123" s="9">
        <v>31.06</v>
      </c>
      <c r="D123" s="9">
        <v>31.06</v>
      </c>
      <c r="E123" s="9">
        <v>31.06</v>
      </c>
      <c r="F123" s="2"/>
      <c r="G123" s="2"/>
      <c r="H123" s="2"/>
      <c r="I123" s="2"/>
      <c r="J123" s="2"/>
      <c r="K123" s="2"/>
      <c r="L123" s="2"/>
      <c r="M123" s="2"/>
      <c r="N123" s="2"/>
      <c r="O123" s="7">
        <f>SUM(C123:E123)</f>
        <v>93.179999999999993</v>
      </c>
    </row>
    <row r="124" spans="1:15" x14ac:dyDescent="0.3">
      <c r="A124" s="5">
        <v>45988</v>
      </c>
      <c r="B124" s="21" t="s">
        <v>116</v>
      </c>
      <c r="C124" s="9">
        <v>55.71</v>
      </c>
      <c r="D124" s="9">
        <v>55.71</v>
      </c>
      <c r="E124" s="9">
        <v>55.71</v>
      </c>
      <c r="F124" s="9">
        <v>55.71</v>
      </c>
      <c r="G124" s="9">
        <v>55.71</v>
      </c>
      <c r="H124" s="9">
        <v>55.71</v>
      </c>
      <c r="I124" s="2"/>
      <c r="J124" s="2"/>
      <c r="K124" s="2"/>
      <c r="L124" s="2"/>
      <c r="M124" s="2"/>
      <c r="N124" s="2"/>
      <c r="O124" s="7">
        <f>SUM(C124:H124)</f>
        <v>334.26</v>
      </c>
    </row>
    <row r="125" spans="1:15" x14ac:dyDescent="0.3">
      <c r="A125" s="56" t="s">
        <v>86</v>
      </c>
      <c r="B125" s="57"/>
      <c r="C125" s="9">
        <f>SUM(C85:C124)</f>
        <v>3054.2600000000007</v>
      </c>
      <c r="D125" s="9">
        <f>SUM(D87:D124)</f>
        <v>2357.3799999999997</v>
      </c>
      <c r="E125" s="9">
        <f>SUM(E87:E124)</f>
        <v>1684.84</v>
      </c>
      <c r="F125" s="9">
        <f>SUM(F87:F124)</f>
        <v>1045.1199999999999</v>
      </c>
      <c r="G125" s="9">
        <f>SUM(G87:G124)</f>
        <v>879.56000000000006</v>
      </c>
      <c r="H125" s="9">
        <f>SUM(H87:H124)</f>
        <v>467.32</v>
      </c>
      <c r="I125" s="9">
        <f t="shared" ref="I125:N125" si="3">SUM(I87:I124)</f>
        <v>297.02</v>
      </c>
      <c r="J125" s="9">
        <f t="shared" si="3"/>
        <v>297.02</v>
      </c>
      <c r="K125" s="9">
        <f t="shared" si="3"/>
        <v>34.770000000000003</v>
      </c>
      <c r="L125" s="9">
        <f t="shared" si="3"/>
        <v>34.770000000000003</v>
      </c>
      <c r="M125" s="9">
        <f t="shared" si="3"/>
        <v>0</v>
      </c>
      <c r="N125" s="9">
        <f t="shared" si="3"/>
        <v>0</v>
      </c>
      <c r="O125" s="9">
        <f>SUM(C125:H125)</f>
        <v>9488.48</v>
      </c>
    </row>
    <row r="126" spans="1:15" x14ac:dyDescent="0.3">
      <c r="A126" s="38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40"/>
    </row>
    <row r="127" spans="1:15" x14ac:dyDescent="0.3">
      <c r="A127" s="5">
        <v>46361</v>
      </c>
      <c r="B127" s="20" t="s">
        <v>119</v>
      </c>
      <c r="C127" s="7">
        <v>10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3">
      <c r="A128" s="5">
        <v>46365</v>
      </c>
      <c r="B128" s="20" t="s">
        <v>122</v>
      </c>
      <c r="C128" s="7">
        <v>435.16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3">
      <c r="A129" s="8" t="s">
        <v>67</v>
      </c>
      <c r="B129" s="8" t="s">
        <v>77</v>
      </c>
      <c r="C129" s="36">
        <v>90</v>
      </c>
      <c r="D129" s="36">
        <v>90</v>
      </c>
      <c r="E129" s="36">
        <v>90</v>
      </c>
      <c r="F129" s="36">
        <v>90</v>
      </c>
      <c r="G129" s="36">
        <v>90</v>
      </c>
      <c r="H129" s="36">
        <v>90</v>
      </c>
      <c r="I129" s="36">
        <v>90</v>
      </c>
      <c r="J129" s="36">
        <v>90</v>
      </c>
      <c r="K129" s="36">
        <v>90</v>
      </c>
      <c r="L129" s="36">
        <v>90</v>
      </c>
      <c r="M129" s="36">
        <v>90</v>
      </c>
      <c r="N129" s="36">
        <v>90</v>
      </c>
      <c r="O129" s="36">
        <v>90</v>
      </c>
    </row>
    <row r="130" spans="1:15" x14ac:dyDescent="0.3">
      <c r="A130" s="8" t="s">
        <v>123</v>
      </c>
      <c r="B130" s="8" t="s">
        <v>124</v>
      </c>
      <c r="C130" s="9">
        <v>44.9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4"/>
    </row>
    <row r="131" spans="1:15" x14ac:dyDescent="0.3">
      <c r="A131" s="8" t="s">
        <v>125</v>
      </c>
      <c r="B131" s="8" t="s">
        <v>126</v>
      </c>
      <c r="C131" s="9">
        <v>64.760000000000005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4"/>
    </row>
    <row r="132" spans="1:15" x14ac:dyDescent="0.3">
      <c r="A132" s="8" t="s">
        <v>127</v>
      </c>
      <c r="B132" s="8" t="s">
        <v>128</v>
      </c>
      <c r="C132" s="9">
        <v>29.99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4"/>
    </row>
    <row r="133" spans="1:15" x14ac:dyDescent="0.3">
      <c r="A133" s="8" t="s">
        <v>129</v>
      </c>
      <c r="B133" s="8" t="s">
        <v>85</v>
      </c>
      <c r="C133" s="9">
        <v>31.9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4"/>
    </row>
    <row r="134" spans="1:15" x14ac:dyDescent="0.3">
      <c r="A134" s="8" t="s">
        <v>129</v>
      </c>
      <c r="B134" s="8" t="s">
        <v>126</v>
      </c>
      <c r="C134" s="9">
        <v>16.989999999999998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4"/>
    </row>
    <row r="135" spans="1:15" x14ac:dyDescent="0.3">
      <c r="A135" s="8" t="s">
        <v>127</v>
      </c>
      <c r="B135" s="8" t="s">
        <v>84</v>
      </c>
      <c r="C135" s="9">
        <v>1.99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4"/>
    </row>
    <row r="136" spans="1:15" x14ac:dyDescent="0.3">
      <c r="A136" s="8" t="s">
        <v>130</v>
      </c>
      <c r="B136" s="8" t="s">
        <v>84</v>
      </c>
      <c r="C136" s="9">
        <v>16.899999999999999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4"/>
    </row>
    <row r="137" spans="1:15" x14ac:dyDescent="0.3">
      <c r="A137" s="8" t="s">
        <v>127</v>
      </c>
      <c r="B137" s="8" t="s">
        <v>131</v>
      </c>
      <c r="C137" s="9">
        <v>66.45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4"/>
    </row>
    <row r="138" spans="1:15" x14ac:dyDescent="0.3">
      <c r="A138" s="8" t="s">
        <v>125</v>
      </c>
      <c r="B138" s="8" t="s">
        <v>131</v>
      </c>
      <c r="C138" s="9">
        <v>94.37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4"/>
    </row>
    <row r="139" spans="1:15" x14ac:dyDescent="0.3">
      <c r="A139" s="8" t="s">
        <v>132</v>
      </c>
      <c r="B139" s="8" t="s">
        <v>91</v>
      </c>
      <c r="C139" s="9">
        <v>118.7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4"/>
    </row>
    <row r="140" spans="1:15" x14ac:dyDescent="0.3">
      <c r="A140" s="8" t="s">
        <v>133</v>
      </c>
      <c r="B140" s="8" t="s">
        <v>134</v>
      </c>
      <c r="C140" s="9">
        <v>50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4"/>
    </row>
    <row r="141" spans="1:15" x14ac:dyDescent="0.3">
      <c r="A141" s="8" t="s">
        <v>135</v>
      </c>
      <c r="B141" s="8" t="s">
        <v>134</v>
      </c>
      <c r="C141" s="9">
        <v>50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4"/>
    </row>
    <row r="142" spans="1:15" x14ac:dyDescent="0.3">
      <c r="A142" s="8" t="s">
        <v>121</v>
      </c>
      <c r="B142" s="8" t="s">
        <v>136</v>
      </c>
      <c r="C142" s="9">
        <v>20.49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4"/>
    </row>
    <row r="143" spans="1:15" x14ac:dyDescent="0.3">
      <c r="A143" s="8" t="s">
        <v>121</v>
      </c>
      <c r="B143" s="8" t="s">
        <v>136</v>
      </c>
      <c r="C143" s="9">
        <v>14.18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4"/>
    </row>
    <row r="144" spans="1:15" x14ac:dyDescent="0.3">
      <c r="A144" s="8" t="s">
        <v>137</v>
      </c>
      <c r="B144" s="8" t="s">
        <v>136</v>
      </c>
      <c r="C144" s="9">
        <v>35.31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4"/>
    </row>
    <row r="145" spans="1:15" x14ac:dyDescent="0.3">
      <c r="A145" s="8" t="s">
        <v>137</v>
      </c>
      <c r="B145" s="8" t="s">
        <v>136</v>
      </c>
      <c r="C145" s="9">
        <v>20.07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4"/>
    </row>
    <row r="146" spans="1:15" x14ac:dyDescent="0.3">
      <c r="A146" s="8" t="s">
        <v>127</v>
      </c>
      <c r="B146" s="8" t="s">
        <v>136</v>
      </c>
      <c r="C146" s="9">
        <v>16.809999999999999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4"/>
    </row>
    <row r="147" spans="1:15" x14ac:dyDescent="0.3">
      <c r="A147" s="8" t="s">
        <v>127</v>
      </c>
      <c r="B147" s="8" t="s">
        <v>136</v>
      </c>
      <c r="C147" s="9">
        <v>20.68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4"/>
    </row>
    <row r="148" spans="1:15" x14ac:dyDescent="0.3">
      <c r="A148" s="8" t="s">
        <v>130</v>
      </c>
      <c r="B148" s="8" t="s">
        <v>136</v>
      </c>
      <c r="C148" s="9">
        <v>19.73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4"/>
    </row>
    <row r="149" spans="1:15" x14ac:dyDescent="0.3">
      <c r="A149" s="8" t="s">
        <v>129</v>
      </c>
      <c r="B149" s="8" t="s">
        <v>136</v>
      </c>
      <c r="C149" s="9">
        <v>14.22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4"/>
    </row>
    <row r="150" spans="1:15" x14ac:dyDescent="0.3">
      <c r="A150" s="8" t="s">
        <v>123</v>
      </c>
      <c r="B150" s="8" t="s">
        <v>138</v>
      </c>
      <c r="C150" s="9">
        <v>44.9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4"/>
    </row>
    <row r="151" spans="1:15" x14ac:dyDescent="0.3">
      <c r="A151" s="8" t="s">
        <v>133</v>
      </c>
      <c r="B151" s="8" t="s">
        <v>92</v>
      </c>
      <c r="C151" s="9">
        <v>10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4"/>
    </row>
    <row r="152" spans="1:15" x14ac:dyDescent="0.3">
      <c r="A152" s="8" t="s">
        <v>139</v>
      </c>
      <c r="B152" s="8" t="s">
        <v>140</v>
      </c>
      <c r="C152" s="9">
        <v>27.9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4"/>
    </row>
    <row r="153" spans="1:15" x14ac:dyDescent="0.3">
      <c r="A153" s="8" t="s">
        <v>139</v>
      </c>
      <c r="B153" s="8" t="s">
        <v>141</v>
      </c>
      <c r="C153" s="9">
        <v>6.9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4"/>
    </row>
    <row r="154" spans="1:15" x14ac:dyDescent="0.3">
      <c r="A154" s="52" t="s">
        <v>87</v>
      </c>
      <c r="B154" s="53"/>
      <c r="C154" s="36">
        <f>SUM(C127:C153)</f>
        <v>1373.3000000000004</v>
      </c>
      <c r="D154" s="36">
        <f t="shared" ref="D154:M154" si="4">SUM(D127:D153)</f>
        <v>90</v>
      </c>
      <c r="E154" s="36">
        <f t="shared" si="4"/>
        <v>90</v>
      </c>
      <c r="F154" s="36">
        <f t="shared" si="4"/>
        <v>90</v>
      </c>
      <c r="G154" s="36">
        <f t="shared" si="4"/>
        <v>90</v>
      </c>
      <c r="H154" s="36">
        <f t="shared" si="4"/>
        <v>90</v>
      </c>
      <c r="I154" s="36">
        <f t="shared" si="4"/>
        <v>90</v>
      </c>
      <c r="J154" s="36">
        <f t="shared" si="4"/>
        <v>90</v>
      </c>
      <c r="K154" s="36">
        <f t="shared" si="4"/>
        <v>90</v>
      </c>
      <c r="L154" s="36">
        <f t="shared" si="4"/>
        <v>90</v>
      </c>
      <c r="M154" s="36">
        <f t="shared" si="4"/>
        <v>90</v>
      </c>
      <c r="N154" s="36">
        <f t="shared" ref="N154" si="5">SUM(N127:N153)</f>
        <v>90</v>
      </c>
      <c r="O154" s="36">
        <f>SUM(O127:O153)</f>
        <v>90</v>
      </c>
    </row>
    <row r="155" spans="1:15" x14ac:dyDescent="0.3">
      <c r="A155" s="52" t="s">
        <v>88</v>
      </c>
      <c r="B155" s="53"/>
      <c r="C155" s="37">
        <f>SUM(C154,C125)</f>
        <v>4427.5600000000013</v>
      </c>
      <c r="D155" s="37">
        <f t="shared" ref="D155:N155" si="6">SUM(D154,D125)</f>
        <v>2447.3799999999997</v>
      </c>
      <c r="E155" s="37">
        <f t="shared" si="6"/>
        <v>1774.84</v>
      </c>
      <c r="F155" s="37">
        <f t="shared" si="6"/>
        <v>1135.1199999999999</v>
      </c>
      <c r="G155" s="37">
        <f t="shared" si="6"/>
        <v>969.56000000000006</v>
      </c>
      <c r="H155" s="37">
        <f t="shared" si="6"/>
        <v>557.31999999999994</v>
      </c>
      <c r="I155" s="37">
        <f t="shared" si="6"/>
        <v>387.02</v>
      </c>
      <c r="J155" s="37">
        <f t="shared" si="6"/>
        <v>387.02</v>
      </c>
      <c r="K155" s="37">
        <f t="shared" si="6"/>
        <v>124.77000000000001</v>
      </c>
      <c r="L155" s="37">
        <f t="shared" si="6"/>
        <v>124.77000000000001</v>
      </c>
      <c r="M155" s="37">
        <f t="shared" si="6"/>
        <v>90</v>
      </c>
      <c r="N155" s="37">
        <f t="shared" si="6"/>
        <v>90</v>
      </c>
      <c r="O155" s="19">
        <f>SUM(C155:N155)</f>
        <v>12515.360000000002</v>
      </c>
    </row>
    <row r="156" spans="1:15" x14ac:dyDescent="0.3">
      <c r="A156" s="54" t="s">
        <v>117</v>
      </c>
      <c r="B156" s="55"/>
      <c r="C156" s="19">
        <v>4382.0600000000004</v>
      </c>
      <c r="D156" s="19">
        <v>2239.48</v>
      </c>
      <c r="E156" s="9">
        <v>1596.54</v>
      </c>
      <c r="F156" s="9">
        <v>1010.3</v>
      </c>
      <c r="G156" s="9">
        <v>844.75</v>
      </c>
      <c r="H156" s="9">
        <v>432.51</v>
      </c>
      <c r="I156" s="9">
        <v>262.25</v>
      </c>
      <c r="J156" s="9">
        <v>262.25</v>
      </c>
      <c r="K156" s="2"/>
      <c r="L156" s="2"/>
      <c r="M156" s="2"/>
      <c r="N156" s="2"/>
      <c r="O156" s="27">
        <f>SUM(C156:N156)</f>
        <v>11030.140000000001</v>
      </c>
    </row>
    <row r="158" spans="1:15" x14ac:dyDescent="0.3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x14ac:dyDescent="0.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x14ac:dyDescent="0.3">
      <c r="A160" s="24"/>
      <c r="B160" s="24"/>
      <c r="C160" s="24"/>
      <c r="D160" s="24"/>
      <c r="E160" s="24"/>
      <c r="F160" s="24"/>
      <c r="G160" s="24"/>
      <c r="H160" s="24"/>
      <c r="I160" s="24"/>
      <c r="J160" s="35"/>
      <c r="K160" s="24"/>
      <c r="L160" s="24"/>
      <c r="M160" s="24"/>
      <c r="N160" s="24"/>
      <c r="O160" s="24"/>
    </row>
    <row r="161" spans="1:15" x14ac:dyDescent="0.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</sheetData>
  <mergeCells count="7">
    <mergeCell ref="A154:B154"/>
    <mergeCell ref="A155:B155"/>
    <mergeCell ref="A156:B156"/>
    <mergeCell ref="A125:B125"/>
    <mergeCell ref="A58:B58"/>
    <mergeCell ref="A79:B79"/>
    <mergeCell ref="A80:B80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O9 O97 O79" formula="1"/>
    <ignoredError sqref="O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 Mendes</cp:lastModifiedBy>
  <dcterms:created xsi:type="dcterms:W3CDTF">2025-11-29T17:52:06Z</dcterms:created>
  <dcterms:modified xsi:type="dcterms:W3CDTF">2026-01-08T01:40:01Z</dcterms:modified>
</cp:coreProperties>
</file>