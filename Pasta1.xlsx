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ojeto_planilha\"/>
    </mc:Choice>
  </mc:AlternateContent>
  <bookViews>
    <workbookView xWindow="0" yWindow="0" windowWidth="20490" windowHeight="7530"/>
  </bookViews>
  <sheets>
    <sheet name="Planilha1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2" i="2" l="1"/>
  <c r="H112" i="2"/>
  <c r="N77" i="2"/>
  <c r="N56" i="2"/>
  <c r="N78" i="2"/>
  <c r="O56" i="2"/>
  <c r="O44" i="2"/>
  <c r="O43" i="2"/>
  <c r="O37" i="2"/>
  <c r="O36" i="2"/>
  <c r="O35" i="2"/>
  <c r="O34" i="2"/>
  <c r="O33" i="2"/>
  <c r="O31" i="2"/>
  <c r="O30" i="2"/>
  <c r="O21" i="2"/>
  <c r="O20" i="2"/>
  <c r="O17" i="2"/>
  <c r="O82" i="2"/>
  <c r="O83" i="2"/>
  <c r="O84" i="2"/>
  <c r="O85" i="2"/>
  <c r="O86" i="2"/>
  <c r="O87" i="2"/>
  <c r="O78" i="2"/>
  <c r="O88" i="2"/>
  <c r="G112" i="2"/>
  <c r="F112" i="2"/>
  <c r="E112" i="2"/>
  <c r="C112" i="2"/>
  <c r="O111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12" i="2"/>
  <c r="O11" i="2"/>
  <c r="O10" i="2"/>
  <c r="O9" i="2"/>
  <c r="O8" i="2"/>
  <c r="O7" i="2"/>
  <c r="O6" i="2"/>
  <c r="O5" i="2"/>
  <c r="O112" i="2"/>
  <c r="O77" i="2"/>
</calcChain>
</file>

<file path=xl/sharedStrings.xml><?xml version="1.0" encoding="utf-8"?>
<sst xmlns="http://schemas.openxmlformats.org/spreadsheetml/2006/main" count="163" uniqueCount="98">
  <si>
    <t>29/10</t>
  </si>
  <si>
    <t>FERREIRACOSTA PARC 01/05 RECIFE BR</t>
  </si>
  <si>
    <t>FERREIRACOSTA PARC 01/04 RECIFE BR</t>
  </si>
  <si>
    <t>31/10</t>
  </si>
  <si>
    <t>ATACADO DOS P PARC 01/04 RECIFE BR</t>
  </si>
  <si>
    <t>01/10</t>
  </si>
  <si>
    <t>MartaBernardi PARC 02/02 RECIFE BR</t>
  </si>
  <si>
    <t>02/04</t>
  </si>
  <si>
    <t>FERREIRACOSTA PARC 08/10 RECIFE BR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</si>
  <si>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</si>
  <si>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</si>
  <si>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</si>
  <si>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</si>
  <si>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</si>
  <si>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</si>
  <si>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</si>
  <si>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</si>
  <si>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</si>
  <si>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</si>
  <si>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</si>
  <si>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</si>
  <si>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</si>
  <si>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BUSON PARC 05/06 SAO JOSE DOSBR</t>
  </si>
  <si>
    <t xml:space="preserve"> FERREIRACOSTA PARC 01/05 RECIFE BR</t>
  </si>
  <si>
    <t>AMAZON BR PARC 02/04 SAO PAULO BR</t>
  </si>
  <si>
    <t>Compra / Vencimento 10/12</t>
  </si>
  <si>
    <t>SHOPEE *Marav PARC 01/06 Cajamar BR</t>
  </si>
  <si>
    <t>RaiaDrogasilS PARC 01/03 RECIFE BR</t>
  </si>
  <si>
    <t>RDSAUDE ONLIN PARC 01/06 SAO PAULO BR</t>
  </si>
  <si>
    <t>RaiaDrogasilS PARC 03/03 RECIFE BR</t>
  </si>
  <si>
    <t>PAGUE MENOS 3 PARC 03/04 RECIFE BR</t>
  </si>
  <si>
    <t>GOL LINHAS A* PARC 01/05 SAO PAULO BR</t>
  </si>
  <si>
    <t>RDSAUDE ONLIN PARC 02/03 SAO PAULO BR</t>
  </si>
  <si>
    <t>PAGUE MENOS PARC 04/05 RECIFE BR</t>
  </si>
  <si>
    <t>ANTEC 02/05-GOL LINHAS A*CD SAO PAU</t>
  </si>
  <si>
    <t>ANTEC 03/05-GOL LINHAS A*CD SAO PAU</t>
  </si>
  <si>
    <t>ANTEC 04/05-GOL LINHAS A*CD SAO PAU</t>
  </si>
  <si>
    <t>ANTEC 05/05-GOL LINHAS A*CD SAO PAU</t>
  </si>
  <si>
    <t>ANTEC 02/05-GOL LINHAS A*JL SAO PAU</t>
  </si>
  <si>
    <t>ANTEC 03/05-GOL LINHAS A*JL SAO PAU</t>
  </si>
  <si>
    <t>ANTEC 04/05-GOL LINHAS A*JL SAO PAU</t>
  </si>
  <si>
    <t>ANTEC 05/05-GOL LINHAS A*JL SAO PAU</t>
  </si>
  <si>
    <t>EBN *SONYP PARC 03/04 CURITIBA BR</t>
  </si>
  <si>
    <t>MLP*Magalu OR PARC 04/07 SAO BERNARDOBR</t>
  </si>
  <si>
    <t>CLUBE EXTRA C PARC 02/02 RECIFE BR</t>
  </si>
  <si>
    <t>RaiaDrogasilS PARC 02/03 RECIFE BR</t>
  </si>
  <si>
    <t>ATACADO DOS P PARC 02/04 RECIFE BR</t>
  </si>
  <si>
    <t>MM*MULTIMVEIS PARC 10/10 BENTO GONCALBR</t>
  </si>
  <si>
    <t>FERREIRACOSTA PARC 10/10 RECIFE BR</t>
  </si>
  <si>
    <t>ANTEC 02/06-SHOPEE *Maravil Cajamar</t>
  </si>
  <si>
    <t>ANTEC 03/06-SHOPEE *Maravil Cajamar</t>
  </si>
  <si>
    <t>ANTEC 04/06-SHOPEE *Maravil Cajamar</t>
  </si>
  <si>
    <t>ANTEC 05/06-SHOPEE *Maravil Cajamar</t>
  </si>
  <si>
    <t>ANTEC 06/06-SHOPEE *Maravil Cajamar</t>
  </si>
  <si>
    <t>asicsbr-25466 PARC 05/05 Sao Paulo BR</t>
  </si>
  <si>
    <t>AMAZON BR PARC 05/06 SAO PAULO BR</t>
  </si>
  <si>
    <t>BRASTEMP * PARC 03/08 SAO PAULO BR</t>
  </si>
  <si>
    <t>MP*MAISPROGRE PARC 01/05 RECIFE BR</t>
  </si>
  <si>
    <t>MP *MAISPROGR PARC 01/05 RECIFE BR</t>
  </si>
  <si>
    <t>ZP*CLINICA OD PARC 02/03 RECIFE BR</t>
  </si>
  <si>
    <t>MLP*Magalu Mo PARC 02/10 Votuporanga BR</t>
  </si>
  <si>
    <t>MLP*Magalu Fr PARC 02/10 Serra BR</t>
  </si>
  <si>
    <t>MP*MERCADOLIV PARC 01/07 RIO DE JANEIBR</t>
  </si>
  <si>
    <t>GOL LINHAS A*CDTZ SAO PAULO BR</t>
  </si>
  <si>
    <t>GOL LINHAS A*JLMX SAO PAULO BR</t>
  </si>
  <si>
    <t>SHOPEE *MaravilhasAcab Cajamar BR</t>
  </si>
  <si>
    <t>30/10</t>
  </si>
  <si>
    <t>27/10</t>
  </si>
  <si>
    <t>03/11</t>
  </si>
  <si>
    <t>05/11</t>
  </si>
  <si>
    <t>04/11</t>
  </si>
  <si>
    <t>07/11</t>
  </si>
  <si>
    <t>21/11</t>
  </si>
  <si>
    <t>23/11</t>
  </si>
  <si>
    <t>DELICATESSEN DA HORA RECIFE BR</t>
  </si>
  <si>
    <t>FERREIRACOSTACOM RECIFE BR</t>
  </si>
  <si>
    <t>ATACADO DOS PRESENTES RECIFE BR</t>
  </si>
  <si>
    <t>PG *NIO FIBRA RIO DE JANEIR BR</t>
  </si>
  <si>
    <t>AMAZONMKTPLC*TEOCOUTOV BRAGANCA PAUL BR</t>
  </si>
  <si>
    <t>AMAZONMKTPLC*TKDIGITAL SAO PAULO BR</t>
  </si>
  <si>
    <t>Shopee*SHOPEE*CostaeSilPorto Ferreir BR</t>
  </si>
  <si>
    <t>SHOPEE *LOJASHOPBRASIL Indaiatuba BR</t>
  </si>
  <si>
    <t>aliexpress SAO PAULO BR</t>
  </si>
  <si>
    <t>Vindi *Oldflix NATAL BR</t>
  </si>
  <si>
    <t>Google YouTube SAO PAULO BR</t>
  </si>
  <si>
    <t>EBN*SPOTIFY CURITIBA BR</t>
  </si>
  <si>
    <t>Total Parcelado</t>
  </si>
  <si>
    <t>Total Débito</t>
  </si>
  <si>
    <t>Total da Fatura</t>
  </si>
  <si>
    <t>EBN*SONYPLAYSTATN CURITIBA BR</t>
  </si>
  <si>
    <t>25/11</t>
  </si>
  <si>
    <t>PAO DE ACUCAR-1294 RECIFE BR</t>
  </si>
  <si>
    <t>Amazon Ad free for PrimSAO PAULO BR</t>
  </si>
  <si>
    <t>22/11</t>
  </si>
  <si>
    <t>27/11</t>
  </si>
  <si>
    <t>ANUIDADE DIFERENCIADA TIT-PARC 01/12 BR</t>
  </si>
  <si>
    <t>Riachuelo</t>
  </si>
  <si>
    <t>Atacado dos Presentes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</si>
</sst>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d/m;@"/>
    <numFmt numFmtId="165" formatCode="&quot;R$&quot;\ #,##0.00"/>
  </numFmts>
  <fonts count="8" x14ac:knownFonts="1">
    <font>
      <sz val="11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41"/>
      </patternFill>
    </fill>
    <fill>
      <patternFill patternType="solid">
        <fgColor rgb="FF66FF33"/>
        <bgColor indexed="64"/>
      </patternFill>
    </fill>
    <fill>
      <patternFill patternType="solid">
        <fgColor theme="0"/>
        <bgColor indexed="63"/>
      </patternFill>
    </fill>
    <fill>
      <patternFill patternType="solid">
        <fgColor theme="9" tint="0.39997558519241921"/>
        <bgColor indexed="41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indexed="53"/>
      </patternFill>
    </fill>
    <fill>
      <patternFill patternType="solid">
        <fgColor theme="0" tint="-0.14999847407452621"/>
        <bgColor indexed="63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5">
    <xf numFmtId="0" fontId="0" fillId="0" borderId="0" xfId="0"/>
    <xf numFmtId="0" fontId="1" fillId="3" borderId="0" xfId="0" applyFont="1" applyFill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165" fontId="3" fillId="8" borderId="3" xfId="0" applyNumberFormat="1" applyFont="1" applyFill="1" applyBorder="1" applyAlignment="1">
      <alignment horizontal="center" vertical="center"/>
    </xf>
    <xf numFmtId="165" fontId="1" fillId="0" borderId="3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165" fontId="5" fillId="0" borderId="2" xfId="0" applyNumberFormat="1" applyFont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/>
    <xf numFmtId="0" fontId="4" fillId="2" borderId="0" xfId="0" applyFont="1" applyFill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0" borderId="0" xfId="0" applyFont="1"/>
    <xf numFmtId="0" fontId="3" fillId="6" borderId="1" xfId="0" applyNumberFormat="1" applyFont="1" applyFill="1" applyBorder="1"/>
    <xf numFmtId="165" fontId="5" fillId="0" borderId="1" xfId="0" applyNumberFormat="1" applyFont="1" applyBorder="1"/>
    <xf numFmtId="4" fontId="0" fillId="0" borderId="0" xfId="0" applyNumberFormat="1"/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5050"/>
      <color rgb="FF26FA4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topLeftCell="A82" zoomScaleNormal="100" workbookViewId="0">
      <selection activeCell="J120" sqref="J120"/>
    </sheetView>
  </sheetViews>
  <sheetFormatPr defaultRowHeight="15" x14ac:dyDescent="0.25"/>
  <cols>
    <col min="1" max="1" width="6" customWidth="1"/>
    <col min="2" max="2" width="49.28515625" customWidth="1"/>
    <col min="3" max="6" width="11" bestFit="1" customWidth="1"/>
    <col min="7" max="10" width="9.42578125" bestFit="1" customWidth="1"/>
    <col min="11" max="11" width="10.140625" bestFit="1" customWidth="1"/>
    <col min="12" max="12" width="9.42578125" bestFit="1" customWidth="1"/>
    <col min="13" max="13" width="10.5703125" bestFit="1" customWidth="1"/>
    <col min="14" max="15" width="12.28515625" bestFit="1" customWidth="1"/>
  </cols>
  <sheetData>
    <row r="1" spans="1:15" x14ac:dyDescent="0.25">
      <c r="A1" s="30">
        <v>2025</v>
      </c>
      <c r="B1" s="30" t="s">
        <v>25</v>
      </c>
      <c r="C1" s="30" t="s">
        <v>9</v>
      </c>
      <c r="D1" s="30" t="s">
        <v>10</v>
      </c>
      <c r="E1" s="30" t="s">
        <v>11</v>
      </c>
      <c r="F1" s="30" t="s">
        <v>12</v>
      </c>
      <c r="G1" s="30" t="s">
        <v>13</v>
      </c>
      <c r="H1" s="30" t="s">
        <v>14</v>
      </c>
      <c r="I1" s="30" t="s">
        <v>15</v>
      </c>
      <c r="J1" s="30" t="s">
        <v>16</v>
      </c>
      <c r="K1" s="30" t="s">
        <v>17</v>
      </c>
      <c r="L1" s="30" t="s">
        <v>18</v>
      </c>
      <c r="M1" s="30" t="s">
        <v>19</v>
      </c>
      <c r="N1" s="30" t="s">
        <v>20</v>
      </c>
      <c r="O1" s="1" t="s">
        <v>21</v>
      </c>
    </row>
    <row r="2" spans="1:15" x14ac:dyDescent="0.25">
      <c r="A2" s="31">
        <v>45971</v>
      </c>
      <c r="B2" s="32" t="s">
        <v>63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6">
        <v>-3647.89</v>
      </c>
      <c r="O2" s="17"/>
    </row>
    <row r="3" spans="1:15" x14ac:dyDescent="0.25">
      <c r="A3" s="34">
        <v>45972</v>
      </c>
      <c r="B3" s="35" t="s">
        <v>64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  <c r="N3" s="16">
        <v>-3618.79</v>
      </c>
      <c r="O3" s="17"/>
    </row>
    <row r="4" spans="1:15" x14ac:dyDescent="0.25">
      <c r="A4" s="34">
        <v>45980</v>
      </c>
      <c r="B4" s="35" t="s">
        <v>65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  <c r="N4" s="16">
        <v>-379.7</v>
      </c>
      <c r="O4" s="17"/>
    </row>
    <row r="5" spans="1:15" x14ac:dyDescent="0.25">
      <c r="A5" s="18">
        <v>45834</v>
      </c>
      <c r="B5" s="19" t="s">
        <v>22</v>
      </c>
      <c r="C5" s="20"/>
      <c r="D5" s="20"/>
      <c r="E5" s="20"/>
      <c r="F5" s="20"/>
      <c r="G5" s="20"/>
      <c r="H5" s="20"/>
      <c r="I5" s="20"/>
      <c r="J5" s="21">
        <v>54.5</v>
      </c>
      <c r="K5" s="21">
        <v>54.5</v>
      </c>
      <c r="L5" s="21">
        <v>54.5</v>
      </c>
      <c r="M5" s="21">
        <v>54.5</v>
      </c>
      <c r="N5" s="9">
        <v>54.5</v>
      </c>
      <c r="O5" s="9">
        <f>SUM(I5:N5)</f>
        <v>272.5</v>
      </c>
    </row>
    <row r="6" spans="1:15" x14ac:dyDescent="0.25">
      <c r="A6" s="7">
        <v>45959</v>
      </c>
      <c r="B6" s="8" t="s">
        <v>23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9">
        <v>22.86</v>
      </c>
      <c r="O6" s="10">
        <f>SUM(L6:N6)</f>
        <v>22.86</v>
      </c>
    </row>
    <row r="7" spans="1:15" x14ac:dyDescent="0.25">
      <c r="A7" s="7">
        <v>45930</v>
      </c>
      <c r="B7" s="8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2">
        <v>32.93</v>
      </c>
      <c r="N7" s="9">
        <v>32.93</v>
      </c>
      <c r="O7" s="12">
        <f>SUM(K7:N7)</f>
        <v>65.86</v>
      </c>
    </row>
    <row r="8" spans="1:15" x14ac:dyDescent="0.25">
      <c r="A8" s="7" t="s">
        <v>0</v>
      </c>
      <c r="B8" s="11" t="s">
        <v>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>
        <v>52.81</v>
      </c>
      <c r="O8" s="12">
        <f>SUM(L8:N8)</f>
        <v>52.81</v>
      </c>
    </row>
    <row r="9" spans="1:15" x14ac:dyDescent="0.25">
      <c r="A9" s="7" t="s">
        <v>0</v>
      </c>
      <c r="B9" s="11" t="s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>
        <v>29.8</v>
      </c>
      <c r="O9" s="12">
        <f>SUM(L9:N9)</f>
        <v>29.8</v>
      </c>
    </row>
    <row r="10" spans="1:15" x14ac:dyDescent="0.25">
      <c r="A10" s="7" t="s">
        <v>3</v>
      </c>
      <c r="B10" s="11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2">
        <v>58.1</v>
      </c>
      <c r="M10" s="2">
        <v>58.1</v>
      </c>
      <c r="N10" s="9">
        <v>58.1</v>
      </c>
      <c r="O10" s="12">
        <f>SUM(L10:N10)</f>
        <v>174.3</v>
      </c>
    </row>
    <row r="11" spans="1:15" x14ac:dyDescent="0.25">
      <c r="A11" s="7" t="s">
        <v>5</v>
      </c>
      <c r="B11" s="11" t="s">
        <v>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2">
        <v>84</v>
      </c>
      <c r="N11" s="9">
        <v>84</v>
      </c>
      <c r="O11" s="12">
        <f>SUM(M11,N11)</f>
        <v>168</v>
      </c>
    </row>
    <row r="12" spans="1:15" x14ac:dyDescent="0.25">
      <c r="A12" s="11" t="s">
        <v>7</v>
      </c>
      <c r="B12" s="11" t="s">
        <v>8</v>
      </c>
      <c r="C12" s="4"/>
      <c r="D12" s="4"/>
      <c r="E12" s="4"/>
      <c r="F12" s="4"/>
      <c r="G12" s="15">
        <v>183.99</v>
      </c>
      <c r="H12" s="15">
        <v>183.99</v>
      </c>
      <c r="I12" s="15">
        <v>183.99</v>
      </c>
      <c r="J12" s="15">
        <v>183.99</v>
      </c>
      <c r="K12" s="15">
        <v>183.99</v>
      </c>
      <c r="L12" s="15">
        <v>183.99</v>
      </c>
      <c r="M12" s="15">
        <v>183.99</v>
      </c>
      <c r="N12" s="9">
        <v>183.99</v>
      </c>
      <c r="O12" s="9">
        <f>SUM(F12:M12)</f>
        <v>1287.93</v>
      </c>
    </row>
    <row r="13" spans="1:15" x14ac:dyDescent="0.25">
      <c r="A13" s="7">
        <v>45964</v>
      </c>
      <c r="B13" s="11" t="s">
        <v>26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2">
        <v>63.3</v>
      </c>
      <c r="O13" s="6"/>
    </row>
    <row r="14" spans="1:15" x14ac:dyDescent="0.25">
      <c r="A14" s="7">
        <v>45965</v>
      </c>
      <c r="B14" s="11" t="s">
        <v>27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2">
        <v>75.040000000000006</v>
      </c>
      <c r="O14" s="12">
        <v>75.040000000000006</v>
      </c>
    </row>
    <row r="15" spans="1:15" x14ac:dyDescent="0.25">
      <c r="A15" s="7">
        <v>45965</v>
      </c>
      <c r="B15" s="11" t="s">
        <v>28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2">
        <v>121.26</v>
      </c>
      <c r="O15" s="12">
        <v>121.26</v>
      </c>
    </row>
    <row r="16" spans="1:15" x14ac:dyDescent="0.25">
      <c r="A16" s="7">
        <v>45905</v>
      </c>
      <c r="B16" s="11" t="s">
        <v>29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2">
        <v>55.74</v>
      </c>
      <c r="O16" s="12">
        <v>55.74</v>
      </c>
    </row>
    <row r="17" spans="1:15" x14ac:dyDescent="0.25">
      <c r="A17" s="7">
        <v>45905</v>
      </c>
      <c r="B17" s="11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14">
        <v>71.989999999999995</v>
      </c>
      <c r="M17" s="14">
        <v>71.989999999999995</v>
      </c>
      <c r="N17" s="12">
        <v>71.989999999999995</v>
      </c>
      <c r="O17" s="12">
        <f>SUM(L17,M17,N17)</f>
        <v>215.96999999999997</v>
      </c>
    </row>
    <row r="18" spans="1:15" x14ac:dyDescent="0.25">
      <c r="A18" s="7">
        <v>45966</v>
      </c>
      <c r="B18" s="11" t="s">
        <v>31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2">
        <v>729.61</v>
      </c>
      <c r="O18" s="12">
        <v>729.61</v>
      </c>
    </row>
    <row r="19" spans="1:15" x14ac:dyDescent="0.25">
      <c r="A19" s="7">
        <v>45966</v>
      </c>
      <c r="B19" s="11" t="s">
        <v>31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2">
        <v>723.79</v>
      </c>
      <c r="O19" s="12">
        <v>723.79</v>
      </c>
    </row>
    <row r="20" spans="1:15" x14ac:dyDescent="0.25">
      <c r="A20" s="7">
        <v>45936</v>
      </c>
      <c r="B20" s="11" t="s">
        <v>32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14">
        <v>210.89</v>
      </c>
      <c r="N20" s="12">
        <v>210.89</v>
      </c>
      <c r="O20" s="12">
        <f>SUM(M20:N20)</f>
        <v>421.78</v>
      </c>
    </row>
    <row r="21" spans="1:15" x14ac:dyDescent="0.25">
      <c r="A21" s="7">
        <v>45876</v>
      </c>
      <c r="B21" s="11" t="s">
        <v>33</v>
      </c>
      <c r="C21" s="4"/>
      <c r="D21" s="4"/>
      <c r="E21" s="4"/>
      <c r="F21" s="4"/>
      <c r="G21" s="4"/>
      <c r="H21" s="4"/>
      <c r="I21" s="4"/>
      <c r="J21" s="4"/>
      <c r="K21" s="14">
        <v>83.88</v>
      </c>
      <c r="L21" s="14">
        <v>83.88</v>
      </c>
      <c r="M21" s="14">
        <v>83.88</v>
      </c>
      <c r="N21" s="12">
        <v>83.88</v>
      </c>
      <c r="O21" s="12">
        <f>SUM(K21:N21)</f>
        <v>335.52</v>
      </c>
    </row>
    <row r="22" spans="1:15" x14ac:dyDescent="0.25">
      <c r="A22" s="7">
        <v>45966</v>
      </c>
      <c r="B22" s="11" t="s">
        <v>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2">
        <v>729.57</v>
      </c>
      <c r="O22" s="6"/>
    </row>
    <row r="23" spans="1:15" x14ac:dyDescent="0.25">
      <c r="A23" s="7">
        <v>45966</v>
      </c>
      <c r="B23" s="11" t="s">
        <v>35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2">
        <v>729.57</v>
      </c>
      <c r="O23" s="6"/>
    </row>
    <row r="24" spans="1:15" x14ac:dyDescent="0.25">
      <c r="A24" s="7">
        <v>45966</v>
      </c>
      <c r="B24" s="11" t="s">
        <v>36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2">
        <v>729.57</v>
      </c>
      <c r="O24" s="6"/>
    </row>
    <row r="25" spans="1:15" x14ac:dyDescent="0.25">
      <c r="A25" s="7">
        <v>45966</v>
      </c>
      <c r="B25" s="11" t="s">
        <v>37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2">
        <v>729.57</v>
      </c>
      <c r="O25" s="6"/>
    </row>
    <row r="26" spans="1:15" x14ac:dyDescent="0.25">
      <c r="A26" s="7">
        <v>45966</v>
      </c>
      <c r="B26" s="11" t="s">
        <v>38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2">
        <v>723.75</v>
      </c>
      <c r="O26" s="6"/>
    </row>
    <row r="27" spans="1:15" x14ac:dyDescent="0.25">
      <c r="A27" s="7">
        <v>45966</v>
      </c>
      <c r="B27" s="11" t="s">
        <v>39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12">
        <v>723.75</v>
      </c>
      <c r="O27" s="6"/>
    </row>
    <row r="28" spans="1:15" x14ac:dyDescent="0.25">
      <c r="A28" s="7">
        <v>45966</v>
      </c>
      <c r="B28" s="11" t="s">
        <v>40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2">
        <v>723.75</v>
      </c>
      <c r="O28" s="6"/>
    </row>
    <row r="29" spans="1:15" x14ac:dyDescent="0.25">
      <c r="A29" s="7">
        <v>45966</v>
      </c>
      <c r="B29" s="11" t="s">
        <v>41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9">
        <v>723.75</v>
      </c>
      <c r="O29" s="6"/>
    </row>
    <row r="30" spans="1:15" x14ac:dyDescent="0.25">
      <c r="A30" s="7">
        <v>45908</v>
      </c>
      <c r="B30" s="11" t="s">
        <v>42</v>
      </c>
      <c r="C30" s="4"/>
      <c r="D30" s="4"/>
      <c r="E30" s="4"/>
      <c r="F30" s="4"/>
      <c r="G30" s="4"/>
      <c r="H30" s="4"/>
      <c r="I30" s="4"/>
      <c r="J30" s="4"/>
      <c r="K30" s="4"/>
      <c r="L30" s="14">
        <v>29.73</v>
      </c>
      <c r="M30" s="14">
        <v>29.73</v>
      </c>
      <c r="N30" s="12">
        <v>29.73</v>
      </c>
      <c r="O30" s="12">
        <f>SUM(L30:N30)</f>
        <v>89.19</v>
      </c>
    </row>
    <row r="31" spans="1:15" x14ac:dyDescent="0.25">
      <c r="A31" s="7">
        <v>45878</v>
      </c>
      <c r="B31" s="11" t="s">
        <v>43</v>
      </c>
      <c r="C31" s="4"/>
      <c r="D31" s="4"/>
      <c r="E31" s="4"/>
      <c r="F31" s="4"/>
      <c r="G31" s="4"/>
      <c r="H31" s="4"/>
      <c r="I31" s="4"/>
      <c r="J31" s="4"/>
      <c r="K31" s="14">
        <v>78.55</v>
      </c>
      <c r="L31" s="14">
        <v>78.55</v>
      </c>
      <c r="M31" s="14">
        <v>78.55</v>
      </c>
      <c r="N31" s="12">
        <v>78.55</v>
      </c>
      <c r="O31" s="12">
        <f>SUM(K31:N31)</f>
        <v>314.2</v>
      </c>
    </row>
    <row r="32" spans="1:15" x14ac:dyDescent="0.25">
      <c r="A32" s="7">
        <v>45941</v>
      </c>
      <c r="B32" s="11" t="s">
        <v>44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2">
        <v>119.71</v>
      </c>
      <c r="O32" s="12">
        <v>119.71</v>
      </c>
    </row>
    <row r="33" spans="1:15" x14ac:dyDescent="0.25">
      <c r="A33" s="7">
        <v>45942</v>
      </c>
      <c r="B33" s="11" t="s">
        <v>45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14">
        <v>62.43</v>
      </c>
      <c r="N33" s="12">
        <v>62.43</v>
      </c>
      <c r="O33" s="12">
        <f>SUM(M33:N33)</f>
        <v>124.86</v>
      </c>
    </row>
    <row r="34" spans="1:15" x14ac:dyDescent="0.25">
      <c r="A34" s="7">
        <v>45942</v>
      </c>
      <c r="B34" s="11" t="s">
        <v>46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14">
        <v>20.47</v>
      </c>
      <c r="N34" s="12">
        <v>20.47</v>
      </c>
      <c r="O34" s="12">
        <f>SUM(M34:N34)</f>
        <v>40.94</v>
      </c>
    </row>
    <row r="35" spans="1:15" x14ac:dyDescent="0.25">
      <c r="A35" s="7">
        <v>45701</v>
      </c>
      <c r="B35" s="11" t="s">
        <v>47</v>
      </c>
      <c r="C35" s="4"/>
      <c r="D35" s="4"/>
      <c r="E35" s="14">
        <v>103.24</v>
      </c>
      <c r="F35" s="14">
        <v>103.24</v>
      </c>
      <c r="G35" s="14">
        <v>103.24</v>
      </c>
      <c r="H35" s="14">
        <v>103.24</v>
      </c>
      <c r="I35" s="14">
        <v>103.24</v>
      </c>
      <c r="J35" s="14">
        <v>103.24</v>
      </c>
      <c r="K35" s="14">
        <v>103.24</v>
      </c>
      <c r="L35" s="14">
        <v>103.24</v>
      </c>
      <c r="M35" s="14">
        <v>103.24</v>
      </c>
      <c r="N35" s="12">
        <v>103.24</v>
      </c>
      <c r="O35" s="12">
        <f>SUM(E35:N35)</f>
        <v>1032.3999999999999</v>
      </c>
    </row>
    <row r="36" spans="1:15" x14ac:dyDescent="0.25">
      <c r="A36" s="7">
        <v>45702</v>
      </c>
      <c r="B36" s="11" t="s">
        <v>48</v>
      </c>
      <c r="C36" s="4"/>
      <c r="D36" s="4"/>
      <c r="E36" s="14">
        <v>111.65</v>
      </c>
      <c r="F36" s="14">
        <v>111.65</v>
      </c>
      <c r="G36" s="14">
        <v>111.65</v>
      </c>
      <c r="H36" s="14">
        <v>111.65</v>
      </c>
      <c r="I36" s="14">
        <v>111.65</v>
      </c>
      <c r="J36" s="14">
        <v>111.65</v>
      </c>
      <c r="K36" s="14">
        <v>111.65</v>
      </c>
      <c r="L36" s="14">
        <v>111.65</v>
      </c>
      <c r="M36" s="14">
        <v>111.65</v>
      </c>
      <c r="N36" s="12">
        <v>111.65</v>
      </c>
      <c r="O36" s="12">
        <f>SUM(E36:N36)</f>
        <v>1116.5</v>
      </c>
    </row>
    <row r="37" spans="1:15" x14ac:dyDescent="0.25">
      <c r="A37" s="11">
        <v>45915</v>
      </c>
      <c r="B37" s="11" t="s">
        <v>29</v>
      </c>
      <c r="C37" s="4"/>
      <c r="D37" s="4"/>
      <c r="E37" s="4"/>
      <c r="F37" s="4"/>
      <c r="G37" s="4"/>
      <c r="H37" s="4"/>
      <c r="I37" s="4"/>
      <c r="J37" s="4"/>
      <c r="K37" s="4"/>
      <c r="L37" s="15">
        <v>130.41999999999999</v>
      </c>
      <c r="M37" s="15">
        <v>130.41999999999999</v>
      </c>
      <c r="N37" s="9">
        <v>130.41999999999999</v>
      </c>
      <c r="O37" s="9">
        <f>SUM(L37:N37)</f>
        <v>391.26</v>
      </c>
    </row>
    <row r="38" spans="1:15" x14ac:dyDescent="0.25">
      <c r="A38" s="7">
        <v>45964</v>
      </c>
      <c r="B38" s="11" t="s">
        <v>49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12">
        <v>63.28</v>
      </c>
      <c r="O38" s="6"/>
    </row>
    <row r="39" spans="1:15" x14ac:dyDescent="0.25">
      <c r="A39" s="7">
        <v>45964</v>
      </c>
      <c r="B39" s="11" t="s">
        <v>50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2">
        <v>63.28</v>
      </c>
      <c r="O39" s="6"/>
    </row>
    <row r="40" spans="1:15" x14ac:dyDescent="0.25">
      <c r="A40" s="7">
        <v>45964</v>
      </c>
      <c r="B40" s="11" t="s">
        <v>51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2">
        <v>63.28</v>
      </c>
      <c r="O40" s="6"/>
    </row>
    <row r="41" spans="1:15" x14ac:dyDescent="0.25">
      <c r="A41" s="7">
        <v>45964</v>
      </c>
      <c r="B41" s="11" t="s">
        <v>52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2">
        <v>63.28</v>
      </c>
      <c r="O41" s="6"/>
    </row>
    <row r="42" spans="1:15" x14ac:dyDescent="0.25">
      <c r="A42" s="7">
        <v>45964</v>
      </c>
      <c r="B42" s="11" t="s">
        <v>53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2">
        <v>63.28</v>
      </c>
      <c r="O42" s="6"/>
    </row>
    <row r="43" spans="1:15" x14ac:dyDescent="0.25">
      <c r="A43" s="7">
        <v>45858</v>
      </c>
      <c r="B43" s="11" t="s">
        <v>54</v>
      </c>
      <c r="C43" s="4"/>
      <c r="D43" s="4"/>
      <c r="E43" s="4"/>
      <c r="F43" s="4"/>
      <c r="G43" s="4"/>
      <c r="H43" s="4"/>
      <c r="I43" s="4"/>
      <c r="J43" s="14">
        <v>59.99</v>
      </c>
      <c r="K43" s="14">
        <v>59.99</v>
      </c>
      <c r="L43" s="14">
        <v>59.99</v>
      </c>
      <c r="M43" s="14">
        <v>59.99</v>
      </c>
      <c r="N43" s="12">
        <v>59.99</v>
      </c>
      <c r="O43" s="12">
        <f>SUM(J43:N43)</f>
        <v>299.95</v>
      </c>
    </row>
    <row r="44" spans="1:15" x14ac:dyDescent="0.25">
      <c r="A44" s="7">
        <v>45858</v>
      </c>
      <c r="B44" s="11" t="s">
        <v>55</v>
      </c>
      <c r="C44" s="4"/>
      <c r="D44" s="4"/>
      <c r="E44" s="4"/>
      <c r="F44" s="4"/>
      <c r="G44" s="4"/>
      <c r="H44" s="4"/>
      <c r="I44" s="4"/>
      <c r="J44" s="14">
        <v>52.74</v>
      </c>
      <c r="K44" s="14">
        <v>52.74</v>
      </c>
      <c r="L44" s="14">
        <v>52.74</v>
      </c>
      <c r="M44" s="14">
        <v>52.74</v>
      </c>
      <c r="N44" s="12">
        <v>52.74</v>
      </c>
      <c r="O44" s="12">
        <f>SUM(J44:N44)</f>
        <v>263.7</v>
      </c>
    </row>
    <row r="45" spans="1:15" x14ac:dyDescent="0.25">
      <c r="A45" s="7">
        <v>45923</v>
      </c>
      <c r="B45" s="11" t="s">
        <v>56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12">
        <v>290.99</v>
      </c>
      <c r="O45" s="12">
        <v>290.99</v>
      </c>
    </row>
    <row r="46" spans="1:15" x14ac:dyDescent="0.25">
      <c r="A46" s="7">
        <v>45984</v>
      </c>
      <c r="B46" s="11" t="s">
        <v>27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12">
        <v>52.27</v>
      </c>
      <c r="O46" s="12">
        <v>52.27</v>
      </c>
    </row>
    <row r="47" spans="1:15" x14ac:dyDescent="0.25">
      <c r="A47" s="7">
        <v>45984</v>
      </c>
      <c r="B47" s="11" t="s">
        <v>57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12">
        <v>75.28</v>
      </c>
      <c r="O47" s="12">
        <v>75.28</v>
      </c>
    </row>
    <row r="48" spans="1:15" x14ac:dyDescent="0.25">
      <c r="A48" s="7">
        <v>45984</v>
      </c>
      <c r="B48" s="11" t="s">
        <v>58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12">
        <v>37.64</v>
      </c>
      <c r="O48" s="12">
        <v>37.64</v>
      </c>
    </row>
    <row r="49" spans="1:15" x14ac:dyDescent="0.25">
      <c r="A49" s="7">
        <v>45954</v>
      </c>
      <c r="B49" s="11" t="s">
        <v>59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12">
        <v>96.66</v>
      </c>
      <c r="O49" s="12">
        <v>96.66</v>
      </c>
    </row>
    <row r="50" spans="1:15" x14ac:dyDescent="0.25">
      <c r="A50" s="7">
        <v>45954</v>
      </c>
      <c r="B50" s="11" t="s">
        <v>46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12">
        <v>40.32</v>
      </c>
      <c r="O50" s="12">
        <v>40.32</v>
      </c>
    </row>
    <row r="51" spans="1:15" x14ac:dyDescent="0.25">
      <c r="A51" s="7">
        <v>45954</v>
      </c>
      <c r="B51" s="11" t="s">
        <v>60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12">
        <v>99.73</v>
      </c>
      <c r="O51" s="12">
        <v>99.73</v>
      </c>
    </row>
    <row r="52" spans="1:15" x14ac:dyDescent="0.25">
      <c r="A52" s="7">
        <v>45954</v>
      </c>
      <c r="B52" s="11" t="s">
        <v>61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12">
        <v>162.52000000000001</v>
      </c>
      <c r="O52" s="12">
        <v>162.52000000000001</v>
      </c>
    </row>
    <row r="53" spans="1:15" x14ac:dyDescent="0.25">
      <c r="A53" s="7">
        <v>45987</v>
      </c>
      <c r="B53" s="11" t="s">
        <v>27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12">
        <v>44.81</v>
      </c>
      <c r="O53" s="12">
        <v>44.81</v>
      </c>
    </row>
    <row r="54" spans="1:15" x14ac:dyDescent="0.25">
      <c r="A54" s="7">
        <v>45987</v>
      </c>
      <c r="B54" s="11" t="s">
        <v>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9">
        <v>31.06</v>
      </c>
      <c r="O54" s="9">
        <v>31.06</v>
      </c>
    </row>
    <row r="55" spans="1:15" x14ac:dyDescent="0.25">
      <c r="A55" s="7">
        <v>45988</v>
      </c>
      <c r="B55" s="11" t="s">
        <v>62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12">
        <v>55.74</v>
      </c>
      <c r="O55" s="12">
        <v>55.74</v>
      </c>
    </row>
    <row r="56" spans="1:15" x14ac:dyDescent="0.25">
      <c r="A56" s="43" t="s">
        <v>86</v>
      </c>
      <c r="B56" s="44"/>
      <c r="C56" s="22"/>
      <c r="D56" s="23"/>
      <c r="E56" s="23"/>
      <c r="F56" s="23"/>
      <c r="G56" s="23"/>
      <c r="H56" s="23"/>
      <c r="I56" s="23"/>
      <c r="J56" s="23"/>
      <c r="K56" s="23"/>
      <c r="L56" s="23"/>
      <c r="M56" s="24"/>
      <c r="N56" s="12">
        <f>SUM(N2:N55)</f>
        <v>2893.7400000000007</v>
      </c>
      <c r="O56" s="39">
        <f>SUM(N56)</f>
        <v>2893.7400000000007</v>
      </c>
    </row>
    <row r="57" spans="1:15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</row>
    <row r="58" spans="1:15" x14ac:dyDescent="0.25">
      <c r="A58" s="38" t="s">
        <v>66</v>
      </c>
      <c r="B58" s="38" t="s">
        <v>89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12">
        <v>68.209999999999994</v>
      </c>
      <c r="O58" s="6"/>
    </row>
    <row r="59" spans="1:15" x14ac:dyDescent="0.25">
      <c r="A59" s="11" t="s">
        <v>0</v>
      </c>
      <c r="B59" s="38" t="s">
        <v>74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12">
        <v>136.86000000000001</v>
      </c>
      <c r="O59" s="6"/>
    </row>
    <row r="60" spans="1:15" x14ac:dyDescent="0.25">
      <c r="A60" s="38" t="s">
        <v>66</v>
      </c>
      <c r="B60" s="38" t="s">
        <v>75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12">
        <v>45.61</v>
      </c>
      <c r="O60" s="6"/>
    </row>
    <row r="61" spans="1:15" x14ac:dyDescent="0.25">
      <c r="A61" s="38" t="s">
        <v>3</v>
      </c>
      <c r="B61" s="38" t="s">
        <v>76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12">
        <v>14.9</v>
      </c>
      <c r="O61" s="6"/>
    </row>
    <row r="62" spans="1:15" x14ac:dyDescent="0.25">
      <c r="A62" s="38" t="s">
        <v>67</v>
      </c>
      <c r="B62" s="38" t="s">
        <v>77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12">
        <v>90</v>
      </c>
      <c r="O62" s="6"/>
    </row>
    <row r="63" spans="1:15" x14ac:dyDescent="0.25">
      <c r="A63" s="38" t="s">
        <v>68</v>
      </c>
      <c r="B63" s="38" t="s">
        <v>78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12">
        <v>16.399999999999999</v>
      </c>
      <c r="O63" s="6"/>
    </row>
    <row r="64" spans="1:15" x14ac:dyDescent="0.25">
      <c r="A64" s="38" t="s">
        <v>68</v>
      </c>
      <c r="B64" s="38" t="s">
        <v>75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2">
        <v>60.9</v>
      </c>
      <c r="O64" s="6"/>
    </row>
    <row r="65" spans="1:17" x14ac:dyDescent="0.25">
      <c r="A65" s="38" t="s">
        <v>68</v>
      </c>
      <c r="B65" s="38" t="s">
        <v>75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12">
        <v>38.700000000000003</v>
      </c>
      <c r="O65" s="6"/>
    </row>
    <row r="66" spans="1:17" x14ac:dyDescent="0.25">
      <c r="A66" s="38" t="s">
        <v>69</v>
      </c>
      <c r="B66" s="38" t="s">
        <v>79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2">
        <v>37.950000000000003</v>
      </c>
      <c r="O66" s="6"/>
    </row>
    <row r="67" spans="1:17" x14ac:dyDescent="0.25">
      <c r="A67" s="38" t="s">
        <v>69</v>
      </c>
      <c r="B67" s="38" t="s">
        <v>80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12">
        <v>99.34</v>
      </c>
      <c r="O67" s="6"/>
    </row>
    <row r="68" spans="1:17" x14ac:dyDescent="0.25">
      <c r="A68" s="38" t="s">
        <v>69</v>
      </c>
      <c r="B68" s="38" t="s">
        <v>81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2">
        <v>42.28</v>
      </c>
      <c r="O68" s="6"/>
    </row>
    <row r="69" spans="1:17" x14ac:dyDescent="0.25">
      <c r="A69" s="38" t="s">
        <v>70</v>
      </c>
      <c r="B69" s="38" t="s">
        <v>82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12">
        <v>71.81</v>
      </c>
      <c r="O69" s="6"/>
    </row>
    <row r="70" spans="1:17" x14ac:dyDescent="0.25">
      <c r="A70" s="38" t="s">
        <v>71</v>
      </c>
      <c r="B70" s="38" t="s">
        <v>83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12">
        <v>16.899999999999999</v>
      </c>
      <c r="O70" s="6"/>
    </row>
    <row r="71" spans="1:17" x14ac:dyDescent="0.25">
      <c r="A71" s="38" t="s">
        <v>72</v>
      </c>
      <c r="B71" s="38" t="s">
        <v>84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2">
        <v>1.99</v>
      </c>
      <c r="O71" s="6"/>
    </row>
    <row r="72" spans="1:17" x14ac:dyDescent="0.25">
      <c r="A72" s="38" t="s">
        <v>73</v>
      </c>
      <c r="B72" s="38" t="s">
        <v>85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12">
        <v>31.9</v>
      </c>
      <c r="O72" s="6"/>
    </row>
    <row r="73" spans="1:17" x14ac:dyDescent="0.25">
      <c r="A73" s="38" t="s">
        <v>90</v>
      </c>
      <c r="B73" s="38" t="s">
        <v>91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12">
        <v>167</v>
      </c>
      <c r="O73" s="6"/>
    </row>
    <row r="74" spans="1:17" x14ac:dyDescent="0.25">
      <c r="A74" s="38" t="s">
        <v>94</v>
      </c>
      <c r="B74" s="38" t="s">
        <v>95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12">
        <v>45.5</v>
      </c>
      <c r="O74" s="6"/>
    </row>
    <row r="75" spans="1:17" x14ac:dyDescent="0.25">
      <c r="A75" s="38" t="s">
        <v>68</v>
      </c>
      <c r="B75" s="38" t="s">
        <v>92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12">
        <v>10</v>
      </c>
      <c r="O75" s="6"/>
    </row>
    <row r="76" spans="1:17" x14ac:dyDescent="0.25">
      <c r="A76" s="38" t="s">
        <v>93</v>
      </c>
      <c r="B76" s="38" t="s">
        <v>84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12">
        <v>16.899999999999999</v>
      </c>
      <c r="O76" s="6"/>
    </row>
    <row r="77" spans="1:17" x14ac:dyDescent="0.25">
      <c r="A77" s="43" t="s">
        <v>87</v>
      </c>
      <c r="B77" s="44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4"/>
      <c r="N77" s="39">
        <f>SUM(N58:N76)</f>
        <v>1013.1499999999997</v>
      </c>
      <c r="O77" s="12">
        <f>SUM(N77)</f>
        <v>1013.1499999999997</v>
      </c>
    </row>
    <row r="78" spans="1:17" x14ac:dyDescent="0.25">
      <c r="A78" s="43" t="s">
        <v>88</v>
      </c>
      <c r="B78" s="44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4"/>
      <c r="N78" s="12">
        <f>SUM(N56,N77)</f>
        <v>3906.8900000000003</v>
      </c>
      <c r="O78" s="25">
        <f>SUM(N78)</f>
        <v>3906.8900000000003</v>
      </c>
      <c r="Q78" s="40"/>
    </row>
    <row r="79" spans="1:17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</row>
    <row r="80" spans="1:17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Q80" s="40"/>
    </row>
    <row r="81" spans="1:15" x14ac:dyDescent="0.25">
      <c r="A81" s="26">
        <v>2026</v>
      </c>
      <c r="B81" s="13" t="s">
        <v>25</v>
      </c>
      <c r="C81" s="13" t="s">
        <v>9</v>
      </c>
      <c r="D81" s="13" t="s">
        <v>10</v>
      </c>
      <c r="E81" s="13" t="s">
        <v>11</v>
      </c>
      <c r="F81" s="13" t="s">
        <v>12</v>
      </c>
      <c r="G81" s="13" t="s">
        <v>13</v>
      </c>
      <c r="H81" s="13" t="s">
        <v>14</v>
      </c>
      <c r="I81" s="13" t="s">
        <v>15</v>
      </c>
      <c r="J81" s="13" t="s">
        <v>16</v>
      </c>
      <c r="K81" s="13" t="s">
        <v>17</v>
      </c>
      <c r="L81" s="13" t="s">
        <v>18</v>
      </c>
      <c r="M81" s="13" t="s">
        <v>19</v>
      </c>
      <c r="N81" s="13" t="s">
        <v>20</v>
      </c>
      <c r="O81" s="3" t="s">
        <v>21</v>
      </c>
    </row>
    <row r="82" spans="1:15" x14ac:dyDescent="0.25">
      <c r="A82" s="7">
        <v>45834</v>
      </c>
      <c r="B82" s="27" t="s">
        <v>22</v>
      </c>
      <c r="C82" s="9">
        <v>54.5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9">
        <f>SUM(C82)</f>
        <v>54.5</v>
      </c>
    </row>
    <row r="83" spans="1:15" x14ac:dyDescent="0.25">
      <c r="A83" s="7">
        <v>45959</v>
      </c>
      <c r="B83" s="27" t="s">
        <v>23</v>
      </c>
      <c r="C83" s="9">
        <v>22.86</v>
      </c>
      <c r="D83" s="9">
        <v>22.86</v>
      </c>
      <c r="E83" s="9">
        <v>22.86</v>
      </c>
      <c r="F83" s="9">
        <v>22.86</v>
      </c>
      <c r="G83" s="4"/>
      <c r="H83" s="4"/>
      <c r="I83" s="4"/>
      <c r="J83" s="4"/>
      <c r="K83" s="4"/>
      <c r="L83" s="4"/>
      <c r="M83" s="4"/>
      <c r="N83" s="4"/>
      <c r="O83" s="12">
        <f>SUM(C83:N83)</f>
        <v>91.44</v>
      </c>
    </row>
    <row r="84" spans="1:15" x14ac:dyDescent="0.25">
      <c r="A84" s="7">
        <v>45930</v>
      </c>
      <c r="B84" s="27" t="s">
        <v>24</v>
      </c>
      <c r="C84" s="9">
        <v>32.93</v>
      </c>
      <c r="D84" s="9">
        <v>32.93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5">
        <f>SUM(C84:D84)</f>
        <v>65.86</v>
      </c>
    </row>
    <row r="85" spans="1:15" x14ac:dyDescent="0.25">
      <c r="A85" s="7" t="s">
        <v>0</v>
      </c>
      <c r="B85" s="28" t="s">
        <v>2</v>
      </c>
      <c r="C85" s="9">
        <v>52.81</v>
      </c>
      <c r="D85" s="9">
        <v>52.81</v>
      </c>
      <c r="E85" s="9">
        <v>52.81</v>
      </c>
      <c r="F85" s="4"/>
      <c r="G85" s="4"/>
      <c r="H85" s="4"/>
      <c r="I85" s="4"/>
      <c r="J85" s="4"/>
      <c r="K85" s="4"/>
      <c r="L85" s="4"/>
      <c r="M85" s="4"/>
      <c r="N85" s="4"/>
      <c r="O85" s="12">
        <f>SUM(C85,D85,E85)</f>
        <v>158.43</v>
      </c>
    </row>
    <row r="86" spans="1:15" x14ac:dyDescent="0.25">
      <c r="A86" s="7" t="s">
        <v>0</v>
      </c>
      <c r="B86" s="28" t="s">
        <v>1</v>
      </c>
      <c r="C86" s="9">
        <v>29.8</v>
      </c>
      <c r="D86" s="9">
        <v>29.8</v>
      </c>
      <c r="E86" s="9">
        <v>29.8</v>
      </c>
      <c r="F86" s="9">
        <v>29.8</v>
      </c>
      <c r="G86" s="4"/>
      <c r="H86" s="4"/>
      <c r="I86" s="4"/>
      <c r="J86" s="4"/>
      <c r="K86" s="4"/>
      <c r="L86" s="4"/>
      <c r="M86" s="4"/>
      <c r="N86" s="4"/>
      <c r="O86" s="12">
        <f>SUM(C86:F86)</f>
        <v>119.2</v>
      </c>
    </row>
    <row r="87" spans="1:15" x14ac:dyDescent="0.25">
      <c r="A87" s="7" t="s">
        <v>3</v>
      </c>
      <c r="B87" s="28" t="s">
        <v>4</v>
      </c>
      <c r="C87" s="9">
        <v>58.1</v>
      </c>
      <c r="D87" s="9">
        <v>58.1</v>
      </c>
      <c r="E87" s="9">
        <v>58.1</v>
      </c>
      <c r="F87" s="4"/>
      <c r="G87" s="4"/>
      <c r="H87" s="4"/>
      <c r="I87" s="4"/>
      <c r="J87" s="4"/>
      <c r="K87" s="4"/>
      <c r="L87" s="4"/>
      <c r="M87" s="4"/>
      <c r="N87" s="4"/>
      <c r="O87" s="12">
        <f>SUM(C87:N87)</f>
        <v>174.3</v>
      </c>
    </row>
    <row r="88" spans="1:15" x14ac:dyDescent="0.25">
      <c r="A88" s="7" t="s">
        <v>7</v>
      </c>
      <c r="B88" s="28" t="s">
        <v>8</v>
      </c>
      <c r="C88" s="9">
        <v>183.99</v>
      </c>
      <c r="D88" s="9">
        <v>183.99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12">
        <f>SUM(C88,D88)</f>
        <v>367.98</v>
      </c>
    </row>
    <row r="89" spans="1:15" x14ac:dyDescent="0.25">
      <c r="A89" s="7">
        <v>45965</v>
      </c>
      <c r="B89" s="28" t="s">
        <v>27</v>
      </c>
      <c r="C89" s="12">
        <v>75.040000000000006</v>
      </c>
      <c r="D89" s="12">
        <v>75.040000000000006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9">
        <f>SUM(C89:N89)</f>
        <v>150.08000000000001</v>
      </c>
    </row>
    <row r="90" spans="1:15" x14ac:dyDescent="0.25">
      <c r="A90" s="7">
        <v>45965</v>
      </c>
      <c r="B90" s="28" t="s">
        <v>28</v>
      </c>
      <c r="C90" s="12">
        <v>121.26</v>
      </c>
      <c r="D90" s="12">
        <v>121.26</v>
      </c>
      <c r="E90" s="12">
        <v>121.26</v>
      </c>
      <c r="F90" s="12">
        <v>121.26</v>
      </c>
      <c r="G90" s="12">
        <v>121.26</v>
      </c>
      <c r="H90" s="4"/>
      <c r="I90" s="4"/>
      <c r="J90" s="4"/>
      <c r="K90" s="4"/>
      <c r="L90" s="4"/>
      <c r="M90" s="4"/>
      <c r="N90" s="4"/>
      <c r="O90" s="9">
        <f>SUM(C90:G90)</f>
        <v>606.30000000000007</v>
      </c>
    </row>
    <row r="91" spans="1:15" x14ac:dyDescent="0.25">
      <c r="A91" s="7">
        <v>45905</v>
      </c>
      <c r="B91" s="28" t="s">
        <v>30</v>
      </c>
      <c r="C91" s="12">
        <v>71.989999999999995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9">
        <f>SUM(C91)</f>
        <v>71.989999999999995</v>
      </c>
    </row>
    <row r="92" spans="1:15" x14ac:dyDescent="0.25">
      <c r="A92" s="7">
        <v>45936</v>
      </c>
      <c r="B92" s="28" t="s">
        <v>32</v>
      </c>
      <c r="C92" s="12">
        <v>210.89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9">
        <f>SUM(C92)</f>
        <v>210.89</v>
      </c>
    </row>
    <row r="93" spans="1:15" x14ac:dyDescent="0.25">
      <c r="A93" s="7">
        <v>45876</v>
      </c>
      <c r="B93" s="28" t="s">
        <v>33</v>
      </c>
      <c r="C93" s="12">
        <v>83.88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9">
        <f>SUM(C93)</f>
        <v>83.88</v>
      </c>
    </row>
    <row r="94" spans="1:15" x14ac:dyDescent="0.25">
      <c r="A94" s="7">
        <v>45908</v>
      </c>
      <c r="B94" s="28" t="s">
        <v>42</v>
      </c>
      <c r="C94" s="12">
        <v>29.73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9">
        <f>SUM(C94)</f>
        <v>29.73</v>
      </c>
    </row>
    <row r="95" spans="1:15" x14ac:dyDescent="0.25">
      <c r="A95" s="7">
        <v>45878</v>
      </c>
      <c r="B95" s="28" t="s">
        <v>43</v>
      </c>
      <c r="C95" s="12">
        <v>78.55</v>
      </c>
      <c r="D95" s="12">
        <v>78.55</v>
      </c>
      <c r="E95" s="12">
        <v>78.55</v>
      </c>
      <c r="F95" s="4"/>
      <c r="G95" s="4"/>
      <c r="H95" s="4"/>
      <c r="I95" s="4"/>
      <c r="J95" s="4"/>
      <c r="K95" s="4"/>
      <c r="L95" s="4"/>
      <c r="M95" s="4"/>
      <c r="N95" s="4"/>
      <c r="O95" s="9">
        <f>SUM(C95:E95)</f>
        <v>235.64999999999998</v>
      </c>
    </row>
    <row r="96" spans="1:15" x14ac:dyDescent="0.25">
      <c r="A96" s="7">
        <v>45942</v>
      </c>
      <c r="B96" s="28" t="s">
        <v>45</v>
      </c>
      <c r="C96" s="12">
        <v>62.43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9">
        <f>SUM(C96)</f>
        <v>62.43</v>
      </c>
    </row>
    <row r="97" spans="1:15" x14ac:dyDescent="0.25">
      <c r="A97" s="7">
        <v>45942</v>
      </c>
      <c r="B97" s="28" t="s">
        <v>46</v>
      </c>
      <c r="C97" s="12">
        <v>20.47</v>
      </c>
      <c r="D97" s="12">
        <v>20.47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9">
        <f>SUM(C97,D97)</f>
        <v>40.94</v>
      </c>
    </row>
    <row r="98" spans="1:15" x14ac:dyDescent="0.25">
      <c r="A98" s="7">
        <v>45858</v>
      </c>
      <c r="B98" s="28" t="s">
        <v>55</v>
      </c>
      <c r="C98" s="12">
        <v>52.74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9">
        <f>SUM(C98)</f>
        <v>52.74</v>
      </c>
    </row>
    <row r="99" spans="1:15" x14ac:dyDescent="0.25">
      <c r="A99" s="7">
        <v>45923</v>
      </c>
      <c r="B99" s="28" t="s">
        <v>56</v>
      </c>
      <c r="C99" s="12">
        <v>290.99</v>
      </c>
      <c r="D99" s="12">
        <v>290.99</v>
      </c>
      <c r="E99" s="12">
        <v>290.99</v>
      </c>
      <c r="F99" s="12">
        <v>290.99</v>
      </c>
      <c r="G99" s="12">
        <v>290.99</v>
      </c>
      <c r="H99" s="4"/>
      <c r="I99" s="4"/>
      <c r="J99" s="4"/>
      <c r="K99" s="4"/>
      <c r="L99" s="4"/>
      <c r="M99" s="4"/>
      <c r="N99" s="4"/>
      <c r="O99" s="9">
        <f>SUM(C99:G99)</f>
        <v>1454.95</v>
      </c>
    </row>
    <row r="100" spans="1:15" x14ac:dyDescent="0.25">
      <c r="A100" s="7">
        <v>45984</v>
      </c>
      <c r="B100" s="28" t="s">
        <v>27</v>
      </c>
      <c r="C100" s="12">
        <v>52.27</v>
      </c>
      <c r="D100" s="12">
        <v>52.27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9">
        <f>SUM(C100,D100)</f>
        <v>104.54</v>
      </c>
    </row>
    <row r="101" spans="1:15" x14ac:dyDescent="0.25">
      <c r="A101" s="7">
        <v>45984</v>
      </c>
      <c r="B101" s="28" t="s">
        <v>57</v>
      </c>
      <c r="C101" s="12">
        <v>75.28</v>
      </c>
      <c r="D101" s="12">
        <v>75.28</v>
      </c>
      <c r="E101" s="12">
        <v>75.28</v>
      </c>
      <c r="F101" s="12">
        <v>75.28</v>
      </c>
      <c r="G101" s="4"/>
      <c r="H101" s="4"/>
      <c r="I101" s="4"/>
      <c r="J101" s="4"/>
      <c r="K101" s="4"/>
      <c r="L101" s="4"/>
      <c r="M101" s="4"/>
      <c r="N101" s="4"/>
      <c r="O101" s="9">
        <f>SUM(C101:F101)</f>
        <v>301.12</v>
      </c>
    </row>
    <row r="102" spans="1:15" x14ac:dyDescent="0.25">
      <c r="A102" s="7">
        <v>45984</v>
      </c>
      <c r="B102" s="28" t="s">
        <v>58</v>
      </c>
      <c r="C102" s="12">
        <v>37.64</v>
      </c>
      <c r="D102" s="12">
        <v>37.64</v>
      </c>
      <c r="E102" s="12">
        <v>37.64</v>
      </c>
      <c r="F102" s="12">
        <v>37.64</v>
      </c>
      <c r="G102" s="4"/>
      <c r="H102" s="4"/>
      <c r="I102" s="4"/>
      <c r="J102" s="4"/>
      <c r="K102" s="4"/>
      <c r="L102" s="4"/>
      <c r="M102" s="4"/>
      <c r="N102" s="4"/>
      <c r="O102" s="9">
        <f>SUM(C102:F102)</f>
        <v>150.56</v>
      </c>
    </row>
    <row r="103" spans="1:15" x14ac:dyDescent="0.25">
      <c r="A103" s="7">
        <v>45954</v>
      </c>
      <c r="B103" s="28" t="s">
        <v>59</v>
      </c>
      <c r="C103" s="12">
        <v>96.66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9">
        <f>SUM(C103)</f>
        <v>96.66</v>
      </c>
    </row>
    <row r="104" spans="1:15" x14ac:dyDescent="0.25">
      <c r="A104" s="7">
        <v>45954</v>
      </c>
      <c r="B104" s="28" t="s">
        <v>46</v>
      </c>
      <c r="C104" s="12">
        <v>40.32</v>
      </c>
      <c r="D104" s="12">
        <v>40.32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9">
        <f>SUM(C104,D104)</f>
        <v>80.64</v>
      </c>
    </row>
    <row r="105" spans="1:15" x14ac:dyDescent="0.25">
      <c r="A105" s="7">
        <v>45954</v>
      </c>
      <c r="B105" s="28" t="s">
        <v>60</v>
      </c>
      <c r="C105" s="12">
        <v>99.73</v>
      </c>
      <c r="D105" s="12">
        <v>99.73</v>
      </c>
      <c r="E105" s="12">
        <v>99.73</v>
      </c>
      <c r="F105" s="12">
        <v>99.73</v>
      </c>
      <c r="G105" s="12">
        <v>99.73</v>
      </c>
      <c r="H105" s="12">
        <v>99.73</v>
      </c>
      <c r="I105" s="12">
        <v>99.73</v>
      </c>
      <c r="J105" s="12">
        <v>99.73</v>
      </c>
      <c r="K105" s="4"/>
      <c r="L105" s="4"/>
      <c r="M105" s="4"/>
      <c r="N105" s="4"/>
      <c r="O105" s="9">
        <f>SUM(C105:J105)</f>
        <v>797.84</v>
      </c>
    </row>
    <row r="106" spans="1:15" x14ac:dyDescent="0.25">
      <c r="A106" s="7">
        <v>45954</v>
      </c>
      <c r="B106" s="28" t="s">
        <v>61</v>
      </c>
      <c r="C106" s="12">
        <v>162.52000000000001</v>
      </c>
      <c r="D106" s="12">
        <v>162.52000000000001</v>
      </c>
      <c r="E106" s="12">
        <v>162.52000000000001</v>
      </c>
      <c r="F106" s="12">
        <v>162.52000000000001</v>
      </c>
      <c r="G106" s="12">
        <v>162.52000000000001</v>
      </c>
      <c r="H106" s="12">
        <v>162.52000000000001</v>
      </c>
      <c r="I106" s="12">
        <v>162.52000000000001</v>
      </c>
      <c r="J106" s="12">
        <v>162.52000000000001</v>
      </c>
      <c r="K106" s="4"/>
      <c r="L106" s="4"/>
      <c r="M106" s="4"/>
      <c r="N106" s="4"/>
      <c r="O106" s="9">
        <f>SUM(C106:J106)</f>
        <v>1300.1600000000001</v>
      </c>
    </row>
    <row r="107" spans="1:15" x14ac:dyDescent="0.25">
      <c r="A107" s="7">
        <v>45987</v>
      </c>
      <c r="B107" s="28" t="s">
        <v>27</v>
      </c>
      <c r="C107" s="12">
        <v>44.81</v>
      </c>
      <c r="D107" s="12">
        <v>44.81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9">
        <f>SUM(C107:D107)</f>
        <v>89.62</v>
      </c>
    </row>
    <row r="108" spans="1:15" x14ac:dyDescent="0.25">
      <c r="A108" s="7">
        <v>45987</v>
      </c>
      <c r="B108" s="28" t="s">
        <v>4</v>
      </c>
      <c r="C108" s="12">
        <v>31.06</v>
      </c>
      <c r="D108" s="12">
        <v>31.06</v>
      </c>
      <c r="E108" s="12">
        <v>31.06</v>
      </c>
      <c r="F108" s="4"/>
      <c r="G108" s="4"/>
      <c r="H108" s="4"/>
      <c r="I108" s="4"/>
      <c r="J108" s="4"/>
      <c r="K108" s="4"/>
      <c r="L108" s="4"/>
      <c r="M108" s="4"/>
      <c r="N108" s="4"/>
      <c r="O108" s="9">
        <f>SUM(C108:E108)</f>
        <v>93.179999999999993</v>
      </c>
    </row>
    <row r="109" spans="1:15" x14ac:dyDescent="0.25">
      <c r="A109" s="7">
        <v>46003</v>
      </c>
      <c r="B109" s="28" t="s">
        <v>97</v>
      </c>
      <c r="C109" s="12">
        <v>55.77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2">
        <v>55.77</v>
      </c>
    </row>
    <row r="110" spans="1:15" x14ac:dyDescent="0.25">
      <c r="A110" s="7">
        <v>46002</v>
      </c>
      <c r="B110" s="28" t="s">
        <v>96</v>
      </c>
      <c r="C110" s="12">
        <v>203.32</v>
      </c>
      <c r="D110" s="12">
        <v>203.32</v>
      </c>
      <c r="E110" s="12">
        <v>203.32</v>
      </c>
      <c r="F110" s="4"/>
      <c r="G110" s="4"/>
      <c r="H110" s="4"/>
      <c r="I110" s="4"/>
      <c r="J110" s="4"/>
      <c r="K110" s="4"/>
      <c r="L110" s="4"/>
      <c r="M110" s="4"/>
      <c r="N110" s="4"/>
      <c r="O110" s="9">
        <v>609.96</v>
      </c>
    </row>
    <row r="111" spans="1:15" x14ac:dyDescent="0.25">
      <c r="A111" s="7">
        <v>45988</v>
      </c>
      <c r="B111" s="28" t="s">
        <v>62</v>
      </c>
      <c r="C111" s="12">
        <v>55.74</v>
      </c>
      <c r="D111" s="12">
        <v>55.74</v>
      </c>
      <c r="E111" s="12">
        <v>55.74</v>
      </c>
      <c r="F111" s="12">
        <v>55.74</v>
      </c>
      <c r="G111" s="12">
        <v>55.74</v>
      </c>
      <c r="H111" s="12">
        <v>55.74</v>
      </c>
      <c r="I111" s="4"/>
      <c r="J111" s="4"/>
      <c r="K111" s="4"/>
      <c r="L111" s="4"/>
      <c r="M111" s="4"/>
      <c r="N111" s="4"/>
      <c r="O111" s="9">
        <f>SUM(C111:H111)</f>
        <v>334.44</v>
      </c>
    </row>
    <row r="112" spans="1:15" x14ac:dyDescent="0.25">
      <c r="A112" s="41" t="s">
        <v>86</v>
      </c>
      <c r="B112" s="42"/>
      <c r="C112" s="29">
        <f>SUM(C82:C111)</f>
        <v>2488.08</v>
      </c>
      <c r="D112" s="29">
        <f>SUM(D82:D111)</f>
        <v>1769.49</v>
      </c>
      <c r="E112" s="29">
        <f>SUM(E82:E111)</f>
        <v>1319.6599999999999</v>
      </c>
      <c r="F112" s="29">
        <f>SUM(F82:F111)</f>
        <v>895.82</v>
      </c>
      <c r="G112" s="29">
        <f>SUM(G82:G111)</f>
        <v>730.24</v>
      </c>
      <c r="H112" s="29">
        <f>SUM(H82:H111)</f>
        <v>317.99</v>
      </c>
      <c r="I112" s="4"/>
      <c r="J112" s="4"/>
      <c r="K112" s="4"/>
      <c r="L112" s="4"/>
      <c r="M112" s="4"/>
      <c r="N112" s="4"/>
      <c r="O112" s="29">
        <f>SUM(C112:H112)</f>
        <v>7521.2799999999988</v>
      </c>
    </row>
    <row r="113" spans="1:15" x14ac:dyDescent="0.25">
      <c r="A113" s="37"/>
      <c r="B113" s="37"/>
      <c r="C113" s="12">
        <v>2396.9699999999998</v>
      </c>
      <c r="D113" s="12">
        <v>2239.48</v>
      </c>
      <c r="E113" s="12">
        <v>1596.54</v>
      </c>
      <c r="F113" s="12">
        <v>1010.3</v>
      </c>
      <c r="G113" s="12">
        <v>844.75</v>
      </c>
      <c r="H113" s="12">
        <v>432.51</v>
      </c>
      <c r="I113" s="12">
        <v>262.25</v>
      </c>
      <c r="J113" s="12">
        <v>262.25</v>
      </c>
      <c r="K113" s="37"/>
      <c r="L113" s="37"/>
      <c r="M113" s="37"/>
      <c r="N113" s="37"/>
      <c r="O113" s="37"/>
    </row>
    <row r="114" spans="1:15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</row>
    <row r="115" spans="1:15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</row>
    <row r="116" spans="1:15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</row>
    <row r="117" spans="1:15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</row>
    <row r="118" spans="1:15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</row>
    <row r="119" spans="1:15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</row>
    <row r="120" spans="1:15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</row>
    <row r="121" spans="1:15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</row>
    <row r="122" spans="1:15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</row>
    <row r="123" spans="1:15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</row>
  </sheetData>
  <mergeCells count="4">
    <mergeCell ref="A112:B112"/>
    <mergeCell ref="A56:B56"/>
    <mergeCell ref="A77:B77"/>
    <mergeCell ref="A78:B7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O7 O88 O95 O97" formula="1"/>
    <ignoredError sqref="O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oscar_desktop</dc:creator>
  <cp:lastModifiedBy>oscar_desktop</cp:lastModifiedBy>
  <dcterms:created xsi:type="dcterms:W3CDTF">2025-11-29T17:52:06Z</dcterms:created>
  <dcterms:modified xsi:type="dcterms:W3CDTF">2025-12-15T14:36:36Z</dcterms:modified>
</cp:coreProperties>
</file>